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Script-Zeus\ETL\01_crg_sharepoint\03_Report_lista_links_compartilhados_externo\"/>
    </mc:Choice>
  </mc:AlternateContent>
  <xr:revisionPtr revIDLastSave="0" documentId="13_ncr:1_{6D2924EA-E5BC-4691-92AD-85406B11C3FE}" xr6:coauthVersionLast="47" xr6:coauthVersionMax="47" xr10:uidLastSave="{00000000-0000-0000-0000-000000000000}"/>
  <bookViews>
    <workbookView xWindow="28680" yWindow="-120" windowWidth="29040" windowHeight="15840" activeTab="1" xr2:uid="{B3AADE74-7B98-484D-83AC-DA3705B93538}"/>
  </bookViews>
  <sheets>
    <sheet name="Relatorio" sheetId="4" r:id="rId1"/>
    <sheet name="Dash" sheetId="1" r:id="rId2"/>
    <sheet name="Config" sheetId="3" r:id="rId3"/>
  </sheets>
  <definedNames>
    <definedName name="_xleta.IF" hidden="1" xlm="1">#NAME?</definedName>
    <definedName name="_xleta.LOOKUP" hidden="1" xlm="1">#NAME?</definedName>
    <definedName name="DadosExternos_1" localSheetId="0" hidden="1">Relatorio!$A$1:$H$6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3" l="1"/>
  <c r="E12" i="3"/>
  <c r="D22" i="3" s="1"/>
  <c r="K13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12" i="3"/>
  <c r="K12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E14" i="3"/>
  <c r="E13" i="3"/>
  <c r="AI25" i="3" l="1"/>
  <c r="AG25" i="3" s="1"/>
  <c r="AI10" i="3"/>
  <c r="AG10" i="3" s="1"/>
  <c r="AI12" i="3"/>
  <c r="AG12" i="3" s="1"/>
  <c r="AI13" i="3"/>
  <c r="AG13" i="3" s="1"/>
  <c r="AI9" i="3"/>
  <c r="AG9" i="3" s="1"/>
  <c r="AI24" i="3"/>
  <c r="AG24" i="3" s="1"/>
  <c r="AI28" i="3"/>
  <c r="AG28" i="3" s="1"/>
  <c r="AI27" i="3"/>
  <c r="AG27" i="3" s="1"/>
  <c r="AI26" i="3"/>
  <c r="AG26" i="3" s="1"/>
  <c r="AI11" i="3"/>
  <c r="AG11" i="3" s="1"/>
  <c r="F24" i="3"/>
  <c r="F22" i="3"/>
  <c r="F2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Wanderson Silva</author>
  </authors>
  <commentList>
    <comment ref="K9" authorId="0" shapeId="0" xr:uid="{EF477624-5C8B-48FB-B4A9-650FA8D89DBF}">
      <text>
        <r>
          <rPr>
            <b/>
            <sz val="9"/>
            <color indexed="81"/>
            <rFont val="Segoe UI"/>
            <family val="2"/>
          </rPr>
          <t>Wanderson Silva:</t>
        </r>
        <r>
          <rPr>
            <sz val="9"/>
            <color indexed="81"/>
            <rFont val="Segoe UI"/>
            <family val="2"/>
          </rPr>
          <t xml:space="preserve">
Conta as vezes que um usuario aparece na coluna compartilhado COM
</t>
        </r>
      </text>
    </comment>
    <comment ref="U9" authorId="0" shapeId="0" xr:uid="{098F459C-1267-4F4C-AFB0-8E4442093A45}">
      <text>
        <r>
          <rPr>
            <b/>
            <sz val="9"/>
            <color indexed="81"/>
            <rFont val="Segoe UI"/>
            <family val="2"/>
          </rPr>
          <t>Wanderson Silva:</t>
        </r>
        <r>
          <rPr>
            <sz val="9"/>
            <color indexed="81"/>
            <rFont val="Segoe UI"/>
            <family val="2"/>
          </rPr>
          <t xml:space="preserve">
Wanderson Silva:
Conta as vezes que um usuario aparece na coluna compartilhado COM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0A2095F-9E06-43BB-9127-11F43BB989E2}" keepAlive="1" name="Consulta - tbl_lista_links_compartilhados_externo" description="Conexão com a consulta 'tbl_lista_links_compartilhados_externo' na pasta de trabalho." type="5" refreshedVersion="8" background="1" saveData="1">
    <dbPr connection="Provider=Microsoft.Mashup.OleDb.1;Data Source=$Workbook$;Location=tbl_lista_links_compartilhados_externo;Extended Properties=&quot;&quot;" command="SELECT * FROM [tbl_lista_links_compartilhados_externo]"/>
  </connection>
</connections>
</file>

<file path=xl/sharedStrings.xml><?xml version="1.0" encoding="utf-8"?>
<sst xmlns="http://schemas.openxmlformats.org/spreadsheetml/2006/main" count="74" uniqueCount="41">
  <si>
    <t>Bradesco</t>
  </si>
  <si>
    <t>Nome:</t>
  </si>
  <si>
    <t>Tenant:</t>
  </si>
  <si>
    <t>Cáuculos</t>
  </si>
  <si>
    <t>Tenant-Brasil-2</t>
  </si>
  <si>
    <t>Local do compartilhamento</t>
  </si>
  <si>
    <t>Tipo de compartilhamento</t>
  </si>
  <si>
    <t>Local de trabalho</t>
  </si>
  <si>
    <t>AddedToSecureLink</t>
  </si>
  <si>
    <t>OneDrive</t>
  </si>
  <si>
    <t>SharePoint</t>
  </si>
  <si>
    <t>Data do compartilhamento</t>
  </si>
  <si>
    <t>Compartilhado por</t>
  </si>
  <si>
    <t>Compartilhado com</t>
  </si>
  <si>
    <t>Tipo de recurso</t>
  </si>
  <si>
    <t>Total de links externo</t>
  </si>
  <si>
    <t>Link compartilhado</t>
  </si>
  <si>
    <t xml:space="preserve">Classificação de risco </t>
  </si>
  <si>
    <t>CONT</t>
  </si>
  <si>
    <t>Rank</t>
  </si>
  <si>
    <t>CALCULO A1</t>
  </si>
  <si>
    <t>CALCULO B1</t>
  </si>
  <si>
    <t>Avaliação</t>
  </si>
  <si>
    <t>Nível</t>
  </si>
  <si>
    <t>Baixo</t>
  </si>
  <si>
    <t>Alto</t>
  </si>
  <si>
    <t>Médio</t>
  </si>
  <si>
    <t>Resultado</t>
  </si>
  <si>
    <t>Base</t>
  </si>
  <si>
    <t>Folder</t>
  </si>
  <si>
    <t>SharingInvitationCreated</t>
  </si>
  <si>
    <t>Links Anonimos</t>
  </si>
  <si>
    <t>Clique no botão Carregar Rank para atualizar  os gráficos de Rank</t>
  </si>
  <si>
    <t>wanderson.silva@westecnologia.com</t>
  </si>
  <si>
    <t>Anyone with the link can access</t>
  </si>
  <si>
    <t>https://empresaxyz00.sharepoint.com/Shared Documents/03 - TI/02 - Suporte Externo</t>
  </si>
  <si>
    <t>https://empresaxyz00.sharepoint.com</t>
  </si>
  <si>
    <t>AnonymousLinkCreated</t>
  </si>
  <si>
    <t>https://empresaxyz00-my.sharepoint.com/personal/wanderson_silva_westecnologia_com/Documents/Animes</t>
  </si>
  <si>
    <t>https://empresaxyz00-my.sharepoint.com/personal/wanderson_silva_westecnologia_com</t>
  </si>
  <si>
    <t>caio.2020202291_unicap.br#ext#@empresaxyz00.onmicrosoft.com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</si>
</sst>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0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22" fontId="0" fillId="0" borderId="0" xfId="0" applyNumberFormat="1"/>
    <xf numFmtId="0" fontId="3" fillId="2" borderId="0" xfId="0" applyFont="1" applyFill="1"/>
    <xf numFmtId="0" fontId="4" fillId="2" borderId="0" xfId="0" applyFont="1" applyFill="1"/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9" fillId="2" borderId="0" xfId="0" applyFont="1" applyFill="1"/>
    <xf numFmtId="0" fontId="8" fillId="2" borderId="0" xfId="0" applyFont="1" applyFill="1" applyAlignment="1">
      <alignment horizontal="center"/>
    </xf>
    <xf numFmtId="0" fontId="10" fillId="0" borderId="0" xfId="1"/>
    <xf numFmtId="0" fontId="7" fillId="2" borderId="0" xfId="0" applyFont="1" applyFill="1" applyAlignment="1">
      <alignment horizontal="left" vertical="top" wrapText="1"/>
    </xf>
    <xf numFmtId="0" fontId="7" fillId="4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8"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600">
                <a:solidFill>
                  <a:schemeClr val="bg1"/>
                </a:solidFill>
              </a:rPr>
              <a:t>Links</a:t>
            </a:r>
            <a:r>
              <a:rPr lang="pt-BR" sz="1600" baseline="0">
                <a:solidFill>
                  <a:schemeClr val="bg1"/>
                </a:solidFill>
              </a:rPr>
              <a:t> SharePoint X OneDrive</a:t>
            </a:r>
            <a:endParaRPr lang="pt-BR" sz="1600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12387311409439823"/>
          <c:y val="5.8917438459981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62-4D22-B5DD-128A57EAA309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2C3-4C25-BE12-9B5743CB5E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Config!$B$13:$B$14</c:f>
              <c:strCache>
                <c:ptCount val="2"/>
                <c:pt idx="0">
                  <c:v>OneDrive</c:v>
                </c:pt>
                <c:pt idx="1">
                  <c:v>SharePoint</c:v>
                </c:pt>
              </c:strCache>
            </c:strRef>
          </c:cat>
          <c:val>
            <c:numRef>
              <c:f>Config!$E$13:$E$14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D22-B5DD-128A57EAA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10310512"/>
        <c:axId val="19103124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Config!$B$13:$B$14</c15:sqref>
                        </c15:formulaRef>
                      </c:ext>
                    </c:extLst>
                    <c:strCache>
                      <c:ptCount val="2"/>
                      <c:pt idx="0">
                        <c:v>OneDrive</c:v>
                      </c:pt>
                      <c:pt idx="1">
                        <c:v>SharePoint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Config!$C$13:$C$14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962-4D22-B5DD-128A57EAA309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Config!$B$13:$B$14</c15:sqref>
                        </c15:formulaRef>
                      </c:ext>
                    </c:extLst>
                    <c:strCache>
                      <c:ptCount val="2"/>
                      <c:pt idx="0">
                        <c:v>OneDrive</c:v>
                      </c:pt>
                      <c:pt idx="1">
                        <c:v>SharePoint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Config!$D$13:$D$14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962-4D22-B5DD-128A57EAA309}"/>
                  </c:ext>
                </c:extLst>
              </c15:ser>
            </c15:filteredBarSeries>
          </c:ext>
        </c:extLst>
      </c:barChart>
      <c:catAx>
        <c:axId val="191031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0312432"/>
        <c:crosses val="autoZero"/>
        <c:auto val="1"/>
        <c:lblAlgn val="ctr"/>
        <c:lblOffset val="100"/>
        <c:noMultiLvlLbl val="0"/>
      </c:catAx>
      <c:valAx>
        <c:axId val="1910312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1031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70C0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400">
                <a:solidFill>
                  <a:schemeClr val="bg1"/>
                </a:solidFill>
              </a:rPr>
              <a:t>Rank</a:t>
            </a:r>
            <a:r>
              <a:rPr lang="pt-BR" sz="1400" baseline="0">
                <a:solidFill>
                  <a:schemeClr val="bg1"/>
                </a:solidFill>
              </a:rPr>
              <a:t> - 5 usuários que mais criaram links externo</a:t>
            </a:r>
            <a:endParaRPr lang="pt-BR" sz="14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Config!$AG$9:$AG$13</c:f>
              <c:strCache>
                <c:ptCount val="5"/>
                <c:pt idx="0">
                  <c:v>wanderson.silva@westecnologia.com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Config!$AI$9:$AI$13</c:f>
              <c:numCache>
                <c:formatCode>General</c:formatCode>
                <c:ptCount val="5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C3-4568-B141-5C99E873C6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788977807"/>
        <c:axId val="178898020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Config!$AG$9:$AG$13</c15:sqref>
                        </c15:formulaRef>
                      </c:ext>
                    </c:extLst>
                    <c:strCache>
                      <c:ptCount val="5"/>
                      <c:pt idx="0">
                        <c:v>wanderson.silva@westecnologia.com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Config!$AH$9:$AH$13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4C3-4568-B141-5C99E873C612}"/>
                  </c:ext>
                </c:extLst>
              </c15:ser>
            </c15:filteredBarSeries>
          </c:ext>
        </c:extLst>
      </c:barChart>
      <c:catAx>
        <c:axId val="1788977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980207"/>
        <c:crosses val="autoZero"/>
        <c:auto val="1"/>
        <c:lblAlgn val="ctr"/>
        <c:lblOffset val="100"/>
        <c:noMultiLvlLbl val="0"/>
      </c:catAx>
      <c:valAx>
        <c:axId val="17889802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88977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85000"/>
        <a:lumOff val="15000"/>
      </a:schemeClr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400">
                <a:solidFill>
                  <a:schemeClr val="bg1"/>
                </a:solidFill>
              </a:rPr>
              <a:t>Rank</a:t>
            </a:r>
            <a:r>
              <a:rPr lang="pt-BR" sz="1400" baseline="0">
                <a:solidFill>
                  <a:schemeClr val="bg1"/>
                </a:solidFill>
              </a:rPr>
              <a:t> - 5 usuários que mais receberam  links externo</a:t>
            </a:r>
            <a:endParaRPr lang="pt-BR" sz="14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Config!$AG$24:$AG$28</c:f>
              <c:strCache>
                <c:ptCount val="5"/>
                <c:pt idx="0">
                  <c:v>Anyone with the link can access</c:v>
                </c:pt>
                <c:pt idx="1">
                  <c:v>caio.2020202291_unicap.br#ext#@empresaxyz00.onmicrosoft.com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Config!$AH$24:$AH$28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BA13-448A-893A-88B70F67790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Config!$AG$24:$AG$28</c:f>
              <c:strCache>
                <c:ptCount val="5"/>
                <c:pt idx="0">
                  <c:v>Anyone with the link can access</c:v>
                </c:pt>
                <c:pt idx="1">
                  <c:v>caio.2020202291_unicap.br#ext#@empresaxyz00.onmicrosoft.com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Config!$AI$24:$AI$28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13-448A-893A-88B70F6779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788977807"/>
        <c:axId val="1788980207"/>
        <c:extLst/>
      </c:barChart>
      <c:catAx>
        <c:axId val="1788977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980207"/>
        <c:crosses val="autoZero"/>
        <c:auto val="1"/>
        <c:lblAlgn val="ctr"/>
        <c:lblOffset val="100"/>
        <c:noMultiLvlLbl val="0"/>
      </c:catAx>
      <c:valAx>
        <c:axId val="17889802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88977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85000"/>
        <a:lumOff val="15000"/>
      </a:schemeClr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171873</xdr:colOff>
      <xdr:row>1</xdr:row>
      <xdr:rowOff>97155</xdr:rowOff>
    </xdr:from>
    <xdr:to>
      <xdr:col>25</xdr:col>
      <xdr:colOff>288078</xdr:colOff>
      <xdr:row>2</xdr:row>
      <xdr:rowOff>173355</xdr:rowOff>
    </xdr:to>
    <xdr:sp macro="[0]!update" textlink="">
      <xdr:nvSpPr>
        <xdr:cNvPr id="8" name="Retângulo 7">
          <a:extLst>
            <a:ext uri="{FF2B5EF4-FFF2-40B4-BE49-F238E27FC236}">
              <a16:creationId xmlns:a16="http://schemas.microsoft.com/office/drawing/2014/main" id="{FB33B53A-8CD8-DA16-BE39-8B4B13D96E9D}"/>
            </a:ext>
          </a:extLst>
        </xdr:cNvPr>
        <xdr:cNvSpPr/>
      </xdr:nvSpPr>
      <xdr:spPr>
        <a:xfrm>
          <a:off x="13891471" y="287232"/>
          <a:ext cx="1360170" cy="311996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20</xdr:col>
      <xdr:colOff>554991</xdr:colOff>
      <xdr:row>1</xdr:row>
      <xdr:rowOff>98636</xdr:rowOff>
    </xdr:from>
    <xdr:to>
      <xdr:col>23</xdr:col>
      <xdr:colOff>76200</xdr:colOff>
      <xdr:row>3</xdr:row>
      <xdr:rowOff>1058</xdr:rowOff>
    </xdr:to>
    <xdr:sp macro="[0]!RELATORIOS" textlink="">
      <xdr:nvSpPr>
        <xdr:cNvPr id="20" name="Retângulo 19">
          <a:extLst>
            <a:ext uri="{FF2B5EF4-FFF2-40B4-BE49-F238E27FC236}">
              <a16:creationId xmlns:a16="http://schemas.microsoft.com/office/drawing/2014/main" id="{88378377-F819-10E5-FC89-D4ED6ED99095}"/>
            </a:ext>
          </a:extLst>
        </xdr:cNvPr>
        <xdr:cNvSpPr/>
      </xdr:nvSpPr>
      <xdr:spPr>
        <a:xfrm>
          <a:off x="12462934" y="296333"/>
          <a:ext cx="1346199" cy="3048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  <xdr:twoCellAnchor>
    <xdr:from>
      <xdr:col>2</xdr:col>
      <xdr:colOff>31751</xdr:colOff>
      <xdr:row>4</xdr:row>
      <xdr:rowOff>38523</xdr:rowOff>
    </xdr:from>
    <xdr:to>
      <xdr:col>2</xdr:col>
      <xdr:colOff>535941</xdr:colOff>
      <xdr:row>5</xdr:row>
      <xdr:rowOff>123189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150242A6-D3C2-4F41-87E2-F29C36DE60CA}"/>
            </a:ext>
          </a:extLst>
        </xdr:cNvPr>
        <xdr:cNvSpPr txBox="1"/>
      </xdr:nvSpPr>
      <xdr:spPr>
        <a:xfrm>
          <a:off x="1259418" y="768773"/>
          <a:ext cx="504190" cy="2751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400" b="0" i="0" u="none" strike="noStrike" kern="1200">
              <a:solidFill>
                <a:srgbClr val="FFFFFF"/>
              </a:solidFill>
              <a:latin typeface="Aptos Narrow"/>
            </a:rPr>
            <a:t>|</a:t>
          </a:r>
        </a:p>
      </xdr:txBody>
    </xdr:sp>
    <xdr:clientData/>
  </xdr:twoCellAnchor>
  <xdr:twoCellAnchor>
    <xdr:from>
      <xdr:col>0</xdr:col>
      <xdr:colOff>516680</xdr:colOff>
      <xdr:row>2</xdr:row>
      <xdr:rowOff>19050</xdr:rowOff>
    </xdr:from>
    <xdr:to>
      <xdr:col>8</xdr:col>
      <xdr:colOff>317501</xdr:colOff>
      <xdr:row>5</xdr:row>
      <xdr:rowOff>149015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DC5B0F0-A803-A61A-266A-05E81E41ADF5}"/>
            </a:ext>
          </a:extLst>
        </xdr:cNvPr>
        <xdr:cNvGrpSpPr/>
      </xdr:nvGrpSpPr>
      <xdr:grpSpPr>
        <a:xfrm>
          <a:off x="512870" y="372428"/>
          <a:ext cx="4380441" cy="693368"/>
          <a:chOff x="512870" y="375073"/>
          <a:chExt cx="4431913" cy="694692"/>
        </a:xfrm>
      </xdr:grpSpPr>
      <xdr:sp macro="" textlink="Config!C6">
        <xdr:nvSpPr>
          <xdr:cNvPr id="2" name="CaixaDeTexto 1">
            <a:extLst>
              <a:ext uri="{FF2B5EF4-FFF2-40B4-BE49-F238E27FC236}">
                <a16:creationId xmlns:a16="http://schemas.microsoft.com/office/drawing/2014/main" id="{6001E95A-3034-476E-BAF4-F34F00D63D2B}"/>
              </a:ext>
            </a:extLst>
          </xdr:cNvPr>
          <xdr:cNvSpPr txBox="1"/>
        </xdr:nvSpPr>
        <xdr:spPr>
          <a:xfrm>
            <a:off x="512870" y="767715"/>
            <a:ext cx="99102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AC386B3-E0E1-442F-96BC-40772865F634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Bradesco</a:t>
            </a:fld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8B6EAFB-298F-435D-8674-D21524F76658}"/>
              </a:ext>
            </a:extLst>
          </xdr:cNvPr>
          <xdr:cNvSpPr txBox="1"/>
        </xdr:nvSpPr>
        <xdr:spPr>
          <a:xfrm>
            <a:off x="516256" y="375073"/>
            <a:ext cx="4428527" cy="2999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800" b="1" kern="1200" baseline="0">
                <a:solidFill>
                  <a:schemeClr val="bg1"/>
                </a:solidFill>
              </a:rPr>
              <a:t>COMPARTILHAMENTO DE LINKS EXTERNOS</a:t>
            </a:r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Config!C7">
        <xdr:nvSpPr>
          <xdr:cNvPr id="4" name="CaixaDeTexto 3">
            <a:extLst>
              <a:ext uri="{FF2B5EF4-FFF2-40B4-BE49-F238E27FC236}">
                <a16:creationId xmlns:a16="http://schemas.microsoft.com/office/drawing/2014/main" id="{143D6BA5-6891-481D-8C46-EA31BCE904FB}"/>
              </a:ext>
            </a:extLst>
          </xdr:cNvPr>
          <xdr:cNvSpPr txBox="1"/>
        </xdr:nvSpPr>
        <xdr:spPr>
          <a:xfrm>
            <a:off x="2042583" y="767715"/>
            <a:ext cx="132778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935E51B1-9F0E-46BA-9888-FD44A03C5751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Tenant-Brasil-2</a:t>
            </a:fld>
            <a:endParaRPr lang="en-US" sz="1400" b="0" i="0" u="none" strike="noStrike" kern="1200">
              <a:solidFill>
                <a:srgbClr val="FFFFFF"/>
              </a:solidFill>
              <a:latin typeface="Aptos Narrow"/>
            </a:endParaRP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3699F57A-83AE-4BE4-B0BA-07C2D22AD777}"/>
              </a:ext>
            </a:extLst>
          </xdr:cNvPr>
          <xdr:cNvSpPr txBox="1"/>
        </xdr:nvSpPr>
        <xdr:spPr>
          <a:xfrm>
            <a:off x="1398058" y="780205"/>
            <a:ext cx="1343025" cy="289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t>Tenant:</a:t>
            </a:r>
          </a:p>
        </xdr:txBody>
      </xdr:sp>
    </xdr:grpSp>
    <xdr:clientData/>
  </xdr:twoCellAnchor>
  <xdr:twoCellAnchor editAs="absolute">
    <xdr:from>
      <xdr:col>25</xdr:col>
      <xdr:colOff>401531</xdr:colOff>
      <xdr:row>1</xdr:row>
      <xdr:rowOff>112183</xdr:rowOff>
    </xdr:from>
    <xdr:to>
      <xdr:col>27</xdr:col>
      <xdr:colOff>531070</xdr:colOff>
      <xdr:row>3</xdr:row>
      <xdr:rowOff>19050</xdr:rowOff>
    </xdr:to>
    <xdr:sp macro="[0]!config_org" textlink="">
      <xdr:nvSpPr>
        <xdr:cNvPr id="11" name="Retângulo 10">
          <a:extLst>
            <a:ext uri="{FF2B5EF4-FFF2-40B4-BE49-F238E27FC236}">
              <a16:creationId xmlns:a16="http://schemas.microsoft.com/office/drawing/2014/main" id="{D804D78E-ABB0-4C4A-951E-F629027CF6B4}"/>
            </a:ext>
          </a:extLst>
        </xdr:cNvPr>
        <xdr:cNvSpPr/>
      </xdr:nvSpPr>
      <xdr:spPr>
        <a:xfrm>
          <a:off x="15461614" y="292100"/>
          <a:ext cx="1357206" cy="25146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ORGANIZAÇÃO</a:t>
          </a:r>
        </a:p>
      </xdr:txBody>
    </xdr:sp>
    <xdr:clientData/>
  </xdr:twoCellAnchor>
  <xdr:twoCellAnchor editAs="absolute">
    <xdr:from>
      <xdr:col>7</xdr:col>
      <xdr:colOff>57782</xdr:colOff>
      <xdr:row>5</xdr:row>
      <xdr:rowOff>96097</xdr:rowOff>
    </xdr:from>
    <xdr:to>
      <xdr:col>11</xdr:col>
      <xdr:colOff>320250</xdr:colOff>
      <xdr:row>14</xdr:row>
      <xdr:rowOff>55883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7331860-D28B-6273-A89A-3CCEF9826693}"/>
            </a:ext>
          </a:extLst>
        </xdr:cNvPr>
        <xdr:cNvGrpSpPr/>
      </xdr:nvGrpSpPr>
      <xdr:grpSpPr>
        <a:xfrm>
          <a:off x="4018753" y="1009068"/>
          <a:ext cx="2698963" cy="1670000"/>
          <a:chOff x="4989616" y="978535"/>
          <a:chExt cx="2017395" cy="1701519"/>
        </a:xfrm>
      </xdr:grpSpPr>
      <xdr:sp macro="" textlink="Config!E12">
        <xdr:nvSpPr>
          <xdr:cNvPr id="12" name="Retângulo 11">
            <a:extLst>
              <a:ext uri="{FF2B5EF4-FFF2-40B4-BE49-F238E27FC236}">
                <a16:creationId xmlns:a16="http://schemas.microsoft.com/office/drawing/2014/main" id="{CE62D7F9-4CF0-F739-F3BA-F997745D3CCA}"/>
              </a:ext>
            </a:extLst>
          </xdr:cNvPr>
          <xdr:cNvSpPr/>
        </xdr:nvSpPr>
        <xdr:spPr>
          <a:xfrm>
            <a:off x="4996390" y="1395022"/>
            <a:ext cx="2002155" cy="1285032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A96992-5FBB-4EBD-B595-0A07E89C3296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5</a:t>
            </a:fld>
            <a:endParaRPr lang="pt-BR" sz="6000" b="1" kern="12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FC52088B-9C8B-495A-AA2F-49856D320917}"/>
              </a:ext>
            </a:extLst>
          </xdr:cNvPr>
          <xdr:cNvSpPr/>
        </xdr:nvSpPr>
        <xdr:spPr>
          <a:xfrm>
            <a:off x="4989616" y="978535"/>
            <a:ext cx="2017395" cy="332066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kern="1200"/>
              <a:t>TOTAL LINKS EXTERNOS</a:t>
            </a:r>
          </a:p>
        </xdr:txBody>
      </xdr:sp>
    </xdr:grpSp>
    <xdr:clientData/>
  </xdr:twoCellAnchor>
  <xdr:twoCellAnchor editAs="absolute">
    <xdr:from>
      <xdr:col>15</xdr:col>
      <xdr:colOff>266699</xdr:colOff>
      <xdr:row>5</xdr:row>
      <xdr:rowOff>98214</xdr:rowOff>
    </xdr:from>
    <xdr:to>
      <xdr:col>18</xdr:col>
      <xdr:colOff>531702</xdr:colOff>
      <xdr:row>14</xdr:row>
      <xdr:rowOff>113453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BE130FA-F126-A4F1-B798-0035D7EB6666}"/>
            </a:ext>
          </a:extLst>
        </xdr:cNvPr>
        <xdr:cNvGrpSpPr/>
      </xdr:nvGrpSpPr>
      <xdr:grpSpPr>
        <a:xfrm>
          <a:off x="9089230" y="1011185"/>
          <a:ext cx="2086660" cy="1721643"/>
          <a:chOff x="7538358" y="992956"/>
          <a:chExt cx="2010458" cy="2388933"/>
        </a:xfrm>
        <a:solidFill>
          <a:srgbClr val="FFC000"/>
        </a:solidFill>
      </xdr:grpSpPr>
      <xdr:sp macro="" textlink="Config!E13">
        <xdr:nvSpPr>
          <xdr:cNvPr id="14" name="Retângulo 13">
            <a:extLst>
              <a:ext uri="{FF2B5EF4-FFF2-40B4-BE49-F238E27FC236}">
                <a16:creationId xmlns:a16="http://schemas.microsoft.com/office/drawing/2014/main" id="{8BA828C7-948A-407B-B6EF-0CFD1323ADF5}"/>
              </a:ext>
            </a:extLst>
          </xdr:cNvPr>
          <xdr:cNvSpPr/>
        </xdr:nvSpPr>
        <xdr:spPr>
          <a:xfrm>
            <a:off x="7538358" y="1485793"/>
            <a:ext cx="1998129" cy="1896096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1A20F7-9FB4-4D5D-BE44-662406A897AD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3</a:t>
            </a:fld>
            <a:endParaRPr lang="pt-BR" sz="6000" b="1" kern="1200"/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4DA28795-4D5F-4730-A8FE-6498149B1F55}"/>
              </a:ext>
            </a:extLst>
          </xdr:cNvPr>
          <xdr:cNvSpPr/>
        </xdr:nvSpPr>
        <xdr:spPr>
          <a:xfrm>
            <a:off x="7546054" y="992956"/>
            <a:ext cx="2002762" cy="382905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kern="1200" baseline="0"/>
              <a:t>Links do SharePoint</a:t>
            </a:r>
            <a:endParaRPr lang="pt-BR" sz="1600" kern="1200"/>
          </a:p>
        </xdr:txBody>
      </xdr:sp>
    </xdr:grpSp>
    <xdr:clientData/>
  </xdr:twoCellAnchor>
  <xdr:twoCellAnchor editAs="absolute">
    <xdr:from>
      <xdr:col>19</xdr:col>
      <xdr:colOff>38100</xdr:colOff>
      <xdr:row>5</xdr:row>
      <xdr:rowOff>98423</xdr:rowOff>
    </xdr:from>
    <xdr:to>
      <xdr:col>22</xdr:col>
      <xdr:colOff>398118</xdr:colOff>
      <xdr:row>14</xdr:row>
      <xdr:rowOff>135676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74FB702-B908-7D0A-4B84-EF7327C9BCA9}"/>
            </a:ext>
          </a:extLst>
        </xdr:cNvPr>
        <xdr:cNvGrpSpPr/>
      </xdr:nvGrpSpPr>
      <xdr:grpSpPr>
        <a:xfrm>
          <a:off x="11289506" y="1011394"/>
          <a:ext cx="2185485" cy="1739847"/>
          <a:chOff x="9551033" y="1031452"/>
          <a:chExt cx="2005965" cy="2394584"/>
        </a:xfrm>
        <a:solidFill>
          <a:srgbClr val="FFC000"/>
        </a:solidFill>
      </xdr:grpSpPr>
      <xdr:sp macro="" textlink="Config!E14">
        <xdr:nvSpPr>
          <xdr:cNvPr id="16" name="Retângulo 15">
            <a:extLst>
              <a:ext uri="{FF2B5EF4-FFF2-40B4-BE49-F238E27FC236}">
                <a16:creationId xmlns:a16="http://schemas.microsoft.com/office/drawing/2014/main" id="{6C148A6E-7F04-4830-B710-E45C838D6894}"/>
              </a:ext>
            </a:extLst>
          </xdr:cNvPr>
          <xdr:cNvSpPr/>
        </xdr:nvSpPr>
        <xdr:spPr>
          <a:xfrm>
            <a:off x="9557816" y="1519343"/>
            <a:ext cx="1988822" cy="1906693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C0F54B8-AA51-4E97-8781-6D8405BAB6B7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2</a:t>
            </a:fld>
            <a:endParaRPr lang="pt-BR" sz="6000" b="1" kern="1200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89F925-3D96-4C85-9E17-D49B057ACD04}"/>
              </a:ext>
            </a:extLst>
          </xdr:cNvPr>
          <xdr:cNvSpPr/>
        </xdr:nvSpPr>
        <xdr:spPr>
          <a:xfrm>
            <a:off x="9551033" y="1031452"/>
            <a:ext cx="2005965" cy="381000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Links do Onedrive</a:t>
            </a:r>
            <a:endParaRPr lang="pt-BR" sz="1600">
              <a:effectLst/>
            </a:endParaRPr>
          </a:p>
        </xdr:txBody>
      </xdr:sp>
    </xdr:grpSp>
    <xdr:clientData/>
  </xdr:twoCellAnchor>
  <xdr:twoCellAnchor editAs="absolute">
    <xdr:from>
      <xdr:col>22</xdr:col>
      <xdr:colOff>512444</xdr:colOff>
      <xdr:row>5</xdr:row>
      <xdr:rowOff>129540</xdr:rowOff>
    </xdr:from>
    <xdr:to>
      <xdr:col>27</xdr:col>
      <xdr:colOff>552451</xdr:colOff>
      <xdr:row>14</xdr:row>
      <xdr:rowOff>129962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FD5DC36-EA1D-4C73-8041-26C1EC026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441743</xdr:colOff>
      <xdr:row>15</xdr:row>
      <xdr:rowOff>22226</xdr:rowOff>
    </xdr:from>
    <xdr:to>
      <xdr:col>19</xdr:col>
      <xdr:colOff>459948</xdr:colOff>
      <xdr:row>34</xdr:row>
      <xdr:rowOff>59691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84C5ECB5-B761-4E4F-AE75-9B94C0EEA1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554144</xdr:colOff>
      <xdr:row>15</xdr:row>
      <xdr:rowOff>18203</xdr:rowOff>
    </xdr:from>
    <xdr:to>
      <xdr:col>27</xdr:col>
      <xdr:colOff>549488</xdr:colOff>
      <xdr:row>34</xdr:row>
      <xdr:rowOff>53763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379CCCBB-EB6A-43A6-B7D5-C0812B6D7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58629</xdr:colOff>
      <xdr:row>14</xdr:row>
      <xdr:rowOff>158751</xdr:rowOff>
    </xdr:from>
    <xdr:to>
      <xdr:col>11</xdr:col>
      <xdr:colOff>292522</xdr:colOff>
      <xdr:row>33</xdr:row>
      <xdr:rowOff>169333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511639F2-2866-4C44-BCBD-D46CBD9A4F84}"/>
            </a:ext>
          </a:extLst>
        </xdr:cNvPr>
        <xdr:cNvSpPr/>
      </xdr:nvSpPr>
      <xdr:spPr>
        <a:xfrm>
          <a:off x="4069712" y="2804584"/>
          <a:ext cx="2689227" cy="3545416"/>
        </a:xfrm>
        <a:prstGeom prst="rect">
          <a:avLst/>
        </a:prstGeom>
        <a:solidFill>
          <a:srgbClr val="0070C0"/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600" kern="1200"/>
        </a:p>
      </xdr:txBody>
    </xdr:sp>
    <xdr:clientData/>
  </xdr:twoCellAnchor>
  <xdr:twoCellAnchor>
    <xdr:from>
      <xdr:col>7</xdr:col>
      <xdr:colOff>229024</xdr:colOff>
      <xdr:row>19</xdr:row>
      <xdr:rowOff>46142</xdr:rowOff>
    </xdr:from>
    <xdr:to>
      <xdr:col>11</xdr:col>
      <xdr:colOff>130810</xdr:colOff>
      <xdr:row>21</xdr:row>
      <xdr:rowOff>148166</xdr:rowOff>
    </xdr:to>
    <xdr:sp macro="" textlink="Config!F24">
      <xdr:nvSpPr>
        <xdr:cNvPr id="31" name="Retângulo: Cantos Arredondados 30">
          <a:extLst>
            <a:ext uri="{FF2B5EF4-FFF2-40B4-BE49-F238E27FC236}">
              <a16:creationId xmlns:a16="http://schemas.microsoft.com/office/drawing/2014/main" id="{350BDF6E-DC74-4AEC-6DD1-A38A0E284009}"/>
            </a:ext>
          </a:extLst>
        </xdr:cNvPr>
        <xdr:cNvSpPr/>
      </xdr:nvSpPr>
      <xdr:spPr>
        <a:xfrm>
          <a:off x="4240107" y="3591559"/>
          <a:ext cx="2357120" cy="46185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0F7236DE-677A-44F3-A5BB-307CC7A7D9D3}" type="TxLink">
            <a:rPr lang="en-US" sz="2400" b="1" i="0" u="none" strike="noStrike" kern="1200">
              <a:solidFill>
                <a:srgbClr val="FFFFFF"/>
              </a:solidFill>
              <a:latin typeface="Aptos Narrow"/>
            </a:rPr>
            <a:pPr algn="ctr"/>
            <a:t> </a:t>
          </a:fld>
          <a:endParaRPr lang="pt-BR" sz="2400" b="1" kern="1200"/>
        </a:p>
      </xdr:txBody>
    </xdr:sp>
    <xdr:clientData/>
  </xdr:twoCellAnchor>
  <xdr:twoCellAnchor>
    <xdr:from>
      <xdr:col>7</xdr:col>
      <xdr:colOff>246381</xdr:colOff>
      <xdr:row>22</xdr:row>
      <xdr:rowOff>227964</xdr:rowOff>
    </xdr:from>
    <xdr:to>
      <xdr:col>11</xdr:col>
      <xdr:colOff>151977</xdr:colOff>
      <xdr:row>25</xdr:row>
      <xdr:rowOff>22225</xdr:rowOff>
    </xdr:to>
    <xdr:sp macro="" textlink="Config!F23">
      <xdr:nvSpPr>
        <xdr:cNvPr id="33" name="Retângulo: Cantos Arredondados 32">
          <a:extLst>
            <a:ext uri="{FF2B5EF4-FFF2-40B4-BE49-F238E27FC236}">
              <a16:creationId xmlns:a16="http://schemas.microsoft.com/office/drawing/2014/main" id="{AC37B1DF-CDA0-4D6F-813A-CC2639F4C3D8}"/>
            </a:ext>
          </a:extLst>
        </xdr:cNvPr>
        <xdr:cNvSpPr/>
      </xdr:nvSpPr>
      <xdr:spPr>
        <a:xfrm>
          <a:off x="4257464" y="4313131"/>
          <a:ext cx="2360930" cy="450427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73EE542-1147-464A-8B15-F465778F7B96}" type="TxLink">
            <a:rPr lang="en-US" sz="2400" b="1" i="0" u="none" strike="noStrike" kern="1200">
              <a:solidFill>
                <a:schemeClr val="tx1"/>
              </a:solidFill>
              <a:latin typeface="Aptos Narrow"/>
            </a:rPr>
            <a:pPr algn="ctr"/>
            <a:t> </a:t>
          </a:fld>
          <a:endParaRPr lang="pt-BR" sz="2400" b="1" kern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218441</xdr:colOff>
      <xdr:row>26</xdr:row>
      <xdr:rowOff>132714</xdr:rowOff>
    </xdr:from>
    <xdr:to>
      <xdr:col>11</xdr:col>
      <xdr:colOff>114512</xdr:colOff>
      <xdr:row>29</xdr:row>
      <xdr:rowOff>43391</xdr:rowOff>
    </xdr:to>
    <xdr:sp macro="" textlink="Config!F22">
      <xdr:nvSpPr>
        <xdr:cNvPr id="34" name="Retângulo: Cantos Arredondados 33">
          <a:extLst>
            <a:ext uri="{FF2B5EF4-FFF2-40B4-BE49-F238E27FC236}">
              <a16:creationId xmlns:a16="http://schemas.microsoft.com/office/drawing/2014/main" id="{3B609667-C957-4A66-97B5-43161659932D}"/>
            </a:ext>
          </a:extLst>
        </xdr:cNvPr>
        <xdr:cNvSpPr/>
      </xdr:nvSpPr>
      <xdr:spPr>
        <a:xfrm>
          <a:off x="4229524" y="5053964"/>
          <a:ext cx="2351405" cy="45042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185075-3CC3-43F7-89FF-09A2D42F200A}" type="TxLink">
            <a:rPr lang="en-US" sz="2400" b="0" i="0" u="none" strike="noStrike" kern="1200">
              <a:solidFill>
                <a:srgbClr val="FFFFFF"/>
              </a:solidFill>
              <a:latin typeface="Aptos Narrow"/>
            </a:rPr>
            <a:pPr algn="ctr"/>
            <a:t>Baixo</a:t>
          </a:fld>
          <a:endParaRPr lang="pt-BR" sz="2400" kern="1200"/>
        </a:p>
      </xdr:txBody>
    </xdr:sp>
    <xdr:clientData/>
  </xdr:twoCellAnchor>
  <xdr:twoCellAnchor>
    <xdr:from>
      <xdr:col>7</xdr:col>
      <xdr:colOff>77044</xdr:colOff>
      <xdr:row>15</xdr:row>
      <xdr:rowOff>10583</xdr:rowOff>
    </xdr:from>
    <xdr:to>
      <xdr:col>11</xdr:col>
      <xdr:colOff>339512</xdr:colOff>
      <xdr:row>18</xdr:row>
      <xdr:rowOff>130810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EA500358-912D-412A-8E98-D6EA77BE46AF}"/>
            </a:ext>
          </a:extLst>
        </xdr:cNvPr>
        <xdr:cNvSpPr/>
      </xdr:nvSpPr>
      <xdr:spPr>
        <a:xfrm>
          <a:off x="4088127" y="2836333"/>
          <a:ext cx="2717802" cy="659977"/>
        </a:xfrm>
        <a:prstGeom prst="rect">
          <a:avLst/>
        </a:prstGeom>
        <a:noFill/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Classificação do risco de vazamento de dados.</a:t>
          </a:r>
          <a:endParaRPr lang="pt-BR" sz="1600" b="1">
            <a:effectLst/>
          </a:endParaRPr>
        </a:p>
      </xdr:txBody>
    </xdr:sp>
    <xdr:clientData/>
  </xdr:twoCellAnchor>
  <xdr:twoCellAnchor editAs="absolute">
    <xdr:from>
      <xdr:col>11</xdr:col>
      <xdr:colOff>474344</xdr:colOff>
      <xdr:row>5</xdr:row>
      <xdr:rowOff>98214</xdr:rowOff>
    </xdr:from>
    <xdr:to>
      <xdr:col>15</xdr:col>
      <xdr:colOff>129747</xdr:colOff>
      <xdr:row>14</xdr:row>
      <xdr:rowOff>113453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A3A9F95-5E85-4D61-90B6-6AD5D8CCFECB}"/>
            </a:ext>
          </a:extLst>
        </xdr:cNvPr>
        <xdr:cNvGrpSpPr/>
      </xdr:nvGrpSpPr>
      <xdr:grpSpPr>
        <a:xfrm>
          <a:off x="6871810" y="1011185"/>
          <a:ext cx="2084278" cy="1721643"/>
          <a:chOff x="7538358" y="992956"/>
          <a:chExt cx="2010458" cy="2388933"/>
        </a:xfrm>
        <a:solidFill>
          <a:srgbClr val="FF0000"/>
        </a:solidFill>
      </xdr:grpSpPr>
      <xdr:sp macro="" textlink="Config!E15">
        <xdr:nvSpPr>
          <xdr:cNvPr id="19" name="Retângulo 18">
            <a:extLst>
              <a:ext uri="{FF2B5EF4-FFF2-40B4-BE49-F238E27FC236}">
                <a16:creationId xmlns:a16="http://schemas.microsoft.com/office/drawing/2014/main" id="{06649343-A55B-FCC2-9E35-182A811A2BB2}"/>
              </a:ext>
            </a:extLst>
          </xdr:cNvPr>
          <xdr:cNvSpPr/>
        </xdr:nvSpPr>
        <xdr:spPr>
          <a:xfrm>
            <a:off x="7538358" y="1485793"/>
            <a:ext cx="1998129" cy="1896096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D1DA43-848E-4812-8C68-1A6C36ACC0AE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3</a:t>
            </a:fld>
            <a:endParaRPr lang="pt-BR" sz="6000" b="1" kern="1200"/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BAC9A82-4F7E-30C3-7D5D-07F01A619C52}"/>
              </a:ext>
            </a:extLst>
          </xdr:cNvPr>
          <xdr:cNvSpPr/>
        </xdr:nvSpPr>
        <xdr:spPr>
          <a:xfrm>
            <a:off x="7546054" y="992956"/>
            <a:ext cx="2002762" cy="382905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kern="1200" baseline="0"/>
              <a:t>Links Anonimos</a:t>
            </a:r>
            <a:endParaRPr lang="pt-BR" sz="1600" kern="1200"/>
          </a:p>
        </xdr:txBody>
      </xdr:sp>
    </xdr:grpSp>
    <xdr:clientData/>
  </xdr:twoCellAnchor>
  <xdr:twoCellAnchor>
    <xdr:from>
      <xdr:col>1</xdr:col>
      <xdr:colOff>9949</xdr:colOff>
      <xdr:row>6</xdr:row>
      <xdr:rowOff>24764</xdr:rowOff>
    </xdr:from>
    <xdr:to>
      <xdr:col>5</xdr:col>
      <xdr:colOff>191770</xdr:colOff>
      <xdr:row>8</xdr:row>
      <xdr:rowOff>68791</xdr:rowOff>
    </xdr:to>
    <xdr:sp macro="[0]!copiar_colunasb_e_c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7685178D-261F-4333-8AE6-4FFCEC8AB875}"/>
            </a:ext>
          </a:extLst>
        </xdr:cNvPr>
        <xdr:cNvSpPr/>
      </xdr:nvSpPr>
      <xdr:spPr>
        <a:xfrm>
          <a:off x="619549" y="1177289"/>
          <a:ext cx="2334471" cy="453602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 i="0" u="none" strike="noStrike" kern="1200">
              <a:solidFill>
                <a:srgbClr val="FFFFFF"/>
              </a:solidFill>
              <a:latin typeface="Aptos Narrow"/>
            </a:rPr>
            <a:t>Carregar</a:t>
          </a:r>
          <a:r>
            <a:rPr lang="pt-BR" sz="2400" b="0" i="0" u="none" strike="noStrike" kern="1200" baseline="0">
              <a:solidFill>
                <a:srgbClr val="FFFFFF"/>
              </a:solidFill>
              <a:latin typeface="Aptos Narrow"/>
            </a:rPr>
            <a:t> Rank</a:t>
          </a:r>
          <a:endParaRPr lang="pt-BR" sz="2400" b="0" i="0" u="none" strike="noStrike" kern="1200">
            <a:solidFill>
              <a:srgbClr val="FFFFFF"/>
            </a:solidFill>
            <a:latin typeface="Aptos Narrow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54822</xdr:colOff>
      <xdr:row>1</xdr:row>
      <xdr:rowOff>97155</xdr:rowOff>
    </xdr:from>
    <xdr:to>
      <xdr:col>22</xdr:col>
      <xdr:colOff>188171</xdr:colOff>
      <xdr:row>2</xdr:row>
      <xdr:rowOff>173355</xdr:rowOff>
    </xdr:to>
    <xdr:sp macro="[0]!update" textlink="">
      <xdr:nvSpPr>
        <xdr:cNvPr id="2" name="Retângulo 1">
          <a:extLst>
            <a:ext uri="{FF2B5EF4-FFF2-40B4-BE49-F238E27FC236}">
              <a16:creationId xmlns:a16="http://schemas.microsoft.com/office/drawing/2014/main" id="{F28972AF-ACE9-4106-9057-5C662147E4D7}"/>
            </a:ext>
          </a:extLst>
        </xdr:cNvPr>
        <xdr:cNvSpPr/>
      </xdr:nvSpPr>
      <xdr:spPr>
        <a:xfrm>
          <a:off x="13895493" y="278130"/>
          <a:ext cx="1356360" cy="26289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17</xdr:col>
      <xdr:colOff>456990</xdr:colOff>
      <xdr:row>1</xdr:row>
      <xdr:rowOff>98636</xdr:rowOff>
    </xdr:from>
    <xdr:to>
      <xdr:col>19</xdr:col>
      <xdr:colOff>588222</xdr:colOff>
      <xdr:row>3</xdr:row>
      <xdr:rowOff>1058</xdr:rowOff>
    </xdr:to>
    <xdr:sp macro="[0]!Dash" textlink="">
      <xdr:nvSpPr>
        <xdr:cNvPr id="3" name="Retângulo 2">
          <a:extLst>
            <a:ext uri="{FF2B5EF4-FFF2-40B4-BE49-F238E27FC236}">
              <a16:creationId xmlns:a16="http://schemas.microsoft.com/office/drawing/2014/main" id="{81FE4D75-C028-4DBF-8998-532CE4688F71}"/>
            </a:ext>
          </a:extLst>
        </xdr:cNvPr>
        <xdr:cNvSpPr/>
      </xdr:nvSpPr>
      <xdr:spPr>
        <a:xfrm>
          <a:off x="12461241" y="289136"/>
          <a:ext cx="1350009" cy="253789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516256</xdr:colOff>
      <xdr:row>2</xdr:row>
      <xdr:rowOff>15240</xdr:rowOff>
    </xdr:from>
    <xdr:to>
      <xdr:col>6</xdr:col>
      <xdr:colOff>281940</xdr:colOff>
      <xdr:row>3</xdr:row>
      <xdr:rowOff>135255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21547C3-0D4A-E7E6-4A95-20FA360CDB13}"/>
            </a:ext>
          </a:extLst>
        </xdr:cNvPr>
        <xdr:cNvSpPr txBox="1"/>
      </xdr:nvSpPr>
      <xdr:spPr>
        <a:xfrm>
          <a:off x="512446" y="381000"/>
          <a:ext cx="4040504" cy="293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 kern="1200">
              <a:solidFill>
                <a:schemeClr val="bg1"/>
              </a:solidFill>
            </a:rPr>
            <a:t>CONFIGURAÇÃO</a:t>
          </a:r>
          <a:r>
            <a:rPr lang="pt-BR" sz="1800" b="1" kern="1200" baseline="0">
              <a:solidFill>
                <a:schemeClr val="bg1"/>
              </a:solidFill>
            </a:rPr>
            <a:t> DA ORGANIZAÇÃO</a:t>
          </a:r>
          <a:endParaRPr lang="pt-BR" sz="1800" b="1" kern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15</xdr:col>
      <xdr:colOff>226059</xdr:colOff>
      <xdr:row>1</xdr:row>
      <xdr:rowOff>116416</xdr:rowOff>
    </xdr:from>
    <xdr:to>
      <xdr:col>17</xdr:col>
      <xdr:colOff>342052</xdr:colOff>
      <xdr:row>3</xdr:row>
      <xdr:rowOff>20743</xdr:rowOff>
    </xdr:to>
    <xdr:sp macro="[0]!RELATORIOS" textlink="">
      <xdr:nvSpPr>
        <xdr:cNvPr id="7" name="Retângulo 6">
          <a:extLst>
            <a:ext uri="{FF2B5EF4-FFF2-40B4-BE49-F238E27FC236}">
              <a16:creationId xmlns:a16="http://schemas.microsoft.com/office/drawing/2014/main" id="{6E67B20E-ABC7-42A6-9CC4-A030C0E145A8}"/>
            </a:ext>
          </a:extLst>
        </xdr:cNvPr>
        <xdr:cNvSpPr/>
      </xdr:nvSpPr>
      <xdr:spPr>
        <a:xfrm>
          <a:off x="11070166" y="296333"/>
          <a:ext cx="1362709" cy="250825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CFB3FC7-2B2C-4DA3-B6C7-3D1196AF10E0}" autoFormatId="16" applyNumberFormats="0" applyBorderFormats="0" applyFontFormats="0" applyPatternFormats="0" applyAlignmentFormats="0" applyWidthHeightFormats="0">
  <queryTableRefresh nextId="19">
    <queryTableFields count="8">
      <queryTableField id="9" name="Data do compartilhamento" tableColumnId="1"/>
      <queryTableField id="10" name="Compartilhado por" tableColumnId="2"/>
      <queryTableField id="11" name="Compartilhado com" tableColumnId="3"/>
      <queryTableField id="12" name="Tipo de recurso" tableColumnId="4"/>
      <queryTableField id="17" name="Link compartilhado" tableColumnId="5"/>
      <queryTableField id="6" name="Local do compartilhamento" tableColumnId="6"/>
      <queryTableField id="7" name="Tipo de compartilhamento" tableColumnId="7"/>
      <queryTableField id="8" name="Local de trabalho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F62C1E-DFC5-4D5F-A8E0-B63C04F4FC01}" name="tbl_lista_links_compartilhados_externo" displayName="tbl_lista_links_compartilhados_externo" ref="A1:H6" tableType="queryTable" totalsRowShown="0">
  <autoFilter ref="A1:H6" xr:uid="{2AF62C1E-DFC5-4D5F-A8E0-B63C04F4FC01}"/>
  <tableColumns count="8">
    <tableColumn id="1" xr3:uid="{5A03F467-9079-4E1C-9B8D-369191A23F2B}" uniqueName="1" name="Data do compartilhamento" queryTableFieldId="9" dataDxfId="0"/>
    <tableColumn id="2" xr3:uid="{3C1821B9-F43F-4F78-9684-795D4F6D7446}" uniqueName="2" name="Compartilhado por" queryTableFieldId="10" dataDxfId="7"/>
    <tableColumn id="3" xr3:uid="{D08D9DA4-279E-4CA1-B79A-1DDD35EA5E26}" uniqueName="3" name="Compartilhado com" queryTableFieldId="11" dataDxfId="6"/>
    <tableColumn id="4" xr3:uid="{BC918B90-4FCE-4711-A921-D2AE6450EB73}" uniqueName="4" name="Tipo de recurso" queryTableFieldId="12" dataDxfId="5"/>
    <tableColumn id="5" xr3:uid="{839CDEFA-EDF1-4CE3-8826-65DA146C7C28}" uniqueName="5" name="Link compartilhado" queryTableFieldId="17" dataDxfId="4"/>
    <tableColumn id="6" xr3:uid="{957084FA-2776-4B53-91AE-9B8806A6D50A}" uniqueName="6" name="Local do compartilhamento" queryTableFieldId="6" dataDxfId="3"/>
    <tableColumn id="7" xr3:uid="{184BF3A8-0482-4FCF-8A16-3A36A97BBF43}" uniqueName="7" name="Tipo de compartilhamento" queryTableFieldId="7" dataDxfId="2"/>
    <tableColumn id="8" xr3:uid="{E72C9ED0-7D6E-4D3B-B28A-069C8EC51D40}" uniqueName="8" name="Local de trabalho" queryTableFieldId="8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9526F-2D78-431C-967A-3253B91596A1}">
  <sheetPr codeName="Planilha1"/>
  <dimension ref="A1:H6"/>
  <sheetViews>
    <sheetView workbookViewId="0">
      <selection activeCell="C2" sqref="C2:C2194"/>
    </sheetView>
  </sheetViews>
  <sheetFormatPr defaultRowHeight="14.4" x14ac:dyDescent="0.3"/>
  <cols>
    <col min="1" max="1" width="26.77734375" bestFit="1" customWidth="1"/>
    <col min="2" max="2" width="34.33203125" bestFit="1" customWidth="1"/>
    <col min="3" max="3" width="59" bestFit="1" customWidth="1"/>
    <col min="4" max="4" width="16.77734375" bestFit="1" customWidth="1"/>
    <col min="5" max="5" width="80.88671875" bestFit="1" customWidth="1"/>
    <col min="6" max="6" width="80.109375" bestFit="1" customWidth="1"/>
    <col min="7" max="7" width="26.5546875" bestFit="1" customWidth="1"/>
    <col min="8" max="9" width="18.21875" bestFit="1" customWidth="1"/>
    <col min="10" max="10" width="80.88671875" bestFit="1" customWidth="1"/>
    <col min="11" max="11" width="64.88671875" bestFit="1" customWidth="1"/>
    <col min="12" max="12" width="26.5546875" bestFit="1" customWidth="1"/>
    <col min="13" max="13" width="18.21875" bestFit="1" customWidth="1"/>
  </cols>
  <sheetData>
    <row r="1" spans="1:8" x14ac:dyDescent="0.3">
      <c r="A1" t="s">
        <v>11</v>
      </c>
      <c r="B1" t="s">
        <v>12</v>
      </c>
      <c r="C1" t="s">
        <v>13</v>
      </c>
      <c r="D1" t="s">
        <v>14</v>
      </c>
      <c r="E1" t="s">
        <v>16</v>
      </c>
      <c r="F1" t="s">
        <v>5</v>
      </c>
      <c r="G1" t="s">
        <v>6</v>
      </c>
      <c r="H1" t="s">
        <v>7</v>
      </c>
    </row>
    <row r="2" spans="1:8" x14ac:dyDescent="0.3">
      <c r="A2" s="4">
        <v>45478.133333333331</v>
      </c>
      <c r="B2" t="s">
        <v>33</v>
      </c>
      <c r="C2" t="s">
        <v>34</v>
      </c>
      <c r="D2" t="s">
        <v>29</v>
      </c>
      <c r="E2" s="11" t="s">
        <v>35</v>
      </c>
      <c r="F2" t="s">
        <v>36</v>
      </c>
      <c r="G2" t="s">
        <v>37</v>
      </c>
      <c r="H2" t="s">
        <v>10</v>
      </c>
    </row>
    <row r="3" spans="1:8" x14ac:dyDescent="0.3">
      <c r="A3" s="4">
        <v>45478.133333333331</v>
      </c>
      <c r="B3" t="s">
        <v>33</v>
      </c>
      <c r="C3" t="s">
        <v>34</v>
      </c>
      <c r="D3" t="s">
        <v>29</v>
      </c>
      <c r="E3" t="s">
        <v>35</v>
      </c>
      <c r="F3" t="s">
        <v>36</v>
      </c>
      <c r="G3" t="s">
        <v>37</v>
      </c>
      <c r="H3" t="s">
        <v>10</v>
      </c>
    </row>
    <row r="4" spans="1:8" x14ac:dyDescent="0.3">
      <c r="A4" s="4">
        <v>45478.127083333333</v>
      </c>
      <c r="B4" t="s">
        <v>33</v>
      </c>
      <c r="C4" t="s">
        <v>34</v>
      </c>
      <c r="D4" t="s">
        <v>29</v>
      </c>
      <c r="E4" t="s">
        <v>38</v>
      </c>
      <c r="F4" t="s">
        <v>39</v>
      </c>
      <c r="G4" t="s">
        <v>37</v>
      </c>
      <c r="H4" t="s">
        <v>9</v>
      </c>
    </row>
    <row r="5" spans="1:8" x14ac:dyDescent="0.3">
      <c r="A5" s="4">
        <v>45478.126388888886</v>
      </c>
      <c r="B5" t="s">
        <v>33</v>
      </c>
      <c r="C5" t="s">
        <v>40</v>
      </c>
      <c r="D5" t="s">
        <v>29</v>
      </c>
      <c r="E5" t="s">
        <v>38</v>
      </c>
      <c r="F5" t="s">
        <v>39</v>
      </c>
      <c r="G5" t="s">
        <v>8</v>
      </c>
      <c r="H5" t="s">
        <v>9</v>
      </c>
    </row>
    <row r="6" spans="1:8" x14ac:dyDescent="0.3">
      <c r="A6" s="4">
        <v>45478.126388888886</v>
      </c>
      <c r="B6" t="s">
        <v>33</v>
      </c>
      <c r="C6" t="s">
        <v>40</v>
      </c>
      <c r="D6" t="s">
        <v>29</v>
      </c>
      <c r="E6" t="s">
        <v>38</v>
      </c>
      <c r="F6" t="s">
        <v>39</v>
      </c>
      <c r="G6" t="s">
        <v>30</v>
      </c>
      <c r="H6" t="s">
        <v>9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1607-9B4A-4804-8FB8-6C4ECAE853E9}">
  <sheetPr codeName="Planilha2"/>
  <dimension ref="B4:J24"/>
  <sheetViews>
    <sheetView tabSelected="1" zoomScale="80" zoomScaleNormal="80" workbookViewId="0">
      <selection activeCell="E20" sqref="E20"/>
    </sheetView>
  </sheetViews>
  <sheetFormatPr defaultRowHeight="14.4" x14ac:dyDescent="0.3"/>
  <cols>
    <col min="1" max="4" width="8.88671875" style="1"/>
    <col min="5" max="5" width="4.6640625" style="1" customWidth="1"/>
    <col min="6" max="11" width="8.88671875" style="1"/>
    <col min="12" max="12" width="8.88671875" style="1" customWidth="1"/>
    <col min="13" max="16384" width="8.88671875" style="1"/>
  </cols>
  <sheetData>
    <row r="4" spans="2:8" ht="15" thickBot="1" x14ac:dyDescent="0.35">
      <c r="B4" s="2"/>
      <c r="C4" s="2"/>
      <c r="D4" s="2"/>
      <c r="E4" s="2"/>
      <c r="F4" s="2"/>
      <c r="G4" s="2"/>
      <c r="H4" s="2"/>
    </row>
    <row r="5" spans="2:8" ht="15" thickTop="1" x14ac:dyDescent="0.3"/>
    <row r="6" spans="2:8" ht="18" x14ac:dyDescent="0.35">
      <c r="B6" s="3"/>
      <c r="C6" s="3"/>
      <c r="D6" s="3"/>
    </row>
    <row r="7" spans="2:8" ht="18" x14ac:dyDescent="0.35">
      <c r="B7" s="3"/>
      <c r="C7" s="3"/>
      <c r="D7" s="3"/>
    </row>
    <row r="11" spans="2:8" ht="14.4" customHeight="1" x14ac:dyDescent="0.3">
      <c r="B11" s="12" t="s">
        <v>32</v>
      </c>
      <c r="C11" s="12"/>
      <c r="D11" s="12"/>
      <c r="E11" s="12"/>
      <c r="F11" s="12"/>
    </row>
    <row r="12" spans="2:8" ht="14.4" customHeight="1" x14ac:dyDescent="0.3">
      <c r="B12" s="12"/>
      <c r="C12" s="12"/>
      <c r="D12" s="12"/>
      <c r="E12" s="12"/>
      <c r="F12" s="12"/>
    </row>
    <row r="13" spans="2:8" ht="14.4" customHeight="1" x14ac:dyDescent="0.3">
      <c r="B13" s="12"/>
      <c r="C13" s="12"/>
      <c r="D13" s="12"/>
      <c r="E13" s="12"/>
      <c r="F13" s="12"/>
    </row>
    <row r="14" spans="2:8" ht="14.4" customHeight="1" x14ac:dyDescent="0.3">
      <c r="B14" s="12"/>
      <c r="C14" s="12"/>
      <c r="D14" s="12"/>
      <c r="E14" s="12"/>
      <c r="F14" s="12"/>
    </row>
    <row r="15" spans="2:8" ht="14.4" customHeight="1" x14ac:dyDescent="0.3"/>
    <row r="16" spans="2:8" ht="14.4" customHeight="1" x14ac:dyDescent="0.3"/>
    <row r="17" spans="9:10" ht="14.4" customHeight="1" x14ac:dyDescent="0.3"/>
    <row r="18" spans="9:10" ht="14.4" customHeight="1" x14ac:dyDescent="0.3"/>
    <row r="19" spans="9:10" ht="14.4" customHeight="1" x14ac:dyDescent="0.3"/>
    <row r="20" spans="9:10" ht="14.4" customHeight="1" x14ac:dyDescent="0.3"/>
    <row r="21" spans="9:10" ht="14.4" customHeight="1" x14ac:dyDescent="0.3"/>
    <row r="22" spans="9:10" ht="14.4" customHeight="1" x14ac:dyDescent="0.3"/>
    <row r="23" spans="9:10" ht="23.4" x14ac:dyDescent="0.45">
      <c r="I23" s="10"/>
      <c r="J23" s="9"/>
    </row>
    <row r="24" spans="9:10" ht="14.4" customHeight="1" x14ac:dyDescent="0.3"/>
  </sheetData>
  <mergeCells count="1">
    <mergeCell ref="B11:F14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211B4-947D-43F1-AE5A-3682AADC4511}">
  <sheetPr codeName="Planilha3"/>
  <dimension ref="B4:AK615"/>
  <sheetViews>
    <sheetView zoomScale="90" zoomScaleNormal="90" workbookViewId="0">
      <selection activeCell="B1" sqref="B1"/>
    </sheetView>
  </sheetViews>
  <sheetFormatPr defaultRowHeight="14.4" x14ac:dyDescent="0.3"/>
  <cols>
    <col min="1" max="1" width="8.88671875" style="1"/>
    <col min="2" max="2" width="12.109375" style="1" customWidth="1"/>
    <col min="3" max="3" width="13.6640625" style="1" customWidth="1"/>
    <col min="4" max="4" width="10.44140625" style="1" bestFit="1" customWidth="1"/>
    <col min="5" max="5" width="6.88671875" style="1" bestFit="1" customWidth="1"/>
    <col min="6" max="6" width="10.6640625" style="1" bestFit="1" customWidth="1"/>
    <col min="7" max="7" width="16.77734375" style="1" bestFit="1" customWidth="1"/>
    <col min="8" max="8" width="8.88671875" style="1"/>
    <col min="9" max="9" width="12.88671875" style="1" bestFit="1" customWidth="1"/>
    <col min="10" max="10" width="8.88671875" style="1"/>
    <col min="11" max="11" width="12.109375" style="1" customWidth="1"/>
    <col min="12" max="27" width="8.88671875" style="1"/>
    <col min="28" max="28" width="8.88671875" style="5"/>
    <col min="29" max="31" width="8.88671875" style="1"/>
    <col min="32" max="32" width="8.88671875" style="8"/>
    <col min="33" max="33" width="41.6640625" style="1" customWidth="1"/>
    <col min="34" max="16384" width="8.88671875" style="1"/>
  </cols>
  <sheetData>
    <row r="4" spans="2:37" ht="15" thickBot="1" x14ac:dyDescent="0.35">
      <c r="B4" s="2"/>
      <c r="C4" s="2"/>
      <c r="D4" s="2"/>
      <c r="E4" s="2"/>
      <c r="F4" s="2"/>
      <c r="G4" s="2"/>
      <c r="H4" s="2"/>
    </row>
    <row r="5" spans="2:37" ht="15" thickTop="1" x14ac:dyDescent="0.3"/>
    <row r="6" spans="2:37" ht="18" x14ac:dyDescent="0.35">
      <c r="B6" s="3" t="s">
        <v>1</v>
      </c>
      <c r="C6" s="3" t="s">
        <v>0</v>
      </c>
      <c r="D6" s="3"/>
      <c r="E6" s="3"/>
      <c r="F6" s="3"/>
      <c r="G6" s="3"/>
      <c r="H6" s="3"/>
    </row>
    <row r="7" spans="2:37" ht="18" x14ac:dyDescent="0.35">
      <c r="B7" s="3" t="s">
        <v>2</v>
      </c>
      <c r="C7" s="3" t="s">
        <v>4</v>
      </c>
      <c r="D7" s="3"/>
      <c r="E7" s="3"/>
      <c r="F7" s="3"/>
      <c r="G7" s="3"/>
      <c r="H7" s="3"/>
      <c r="AE7" s="15" t="s">
        <v>20</v>
      </c>
      <c r="AF7" s="15"/>
      <c r="AG7" s="15"/>
      <c r="AH7" s="15"/>
      <c r="AI7" s="15"/>
      <c r="AJ7" s="15"/>
      <c r="AK7" s="15"/>
    </row>
    <row r="8" spans="2:37" ht="18" x14ac:dyDescent="0.35">
      <c r="B8" s="3"/>
      <c r="C8" s="3"/>
      <c r="D8" s="3"/>
      <c r="E8" s="3"/>
      <c r="F8" s="3"/>
      <c r="G8" s="3"/>
      <c r="H8" s="3"/>
      <c r="K8" s="1" t="s">
        <v>20</v>
      </c>
      <c r="U8" s="1" t="s">
        <v>21</v>
      </c>
      <c r="AE8" s="7" t="s">
        <v>19</v>
      </c>
    </row>
    <row r="9" spans="2:37" ht="18" x14ac:dyDescent="0.35">
      <c r="B9" s="3"/>
      <c r="C9" s="3"/>
      <c r="D9" s="3"/>
      <c r="E9" s="3"/>
      <c r="F9" s="3"/>
      <c r="G9" s="3"/>
      <c r="H9" s="3"/>
      <c r="K9" s="1" t="s">
        <v>18</v>
      </c>
      <c r="L9" s="3" t="s">
        <v>12</v>
      </c>
      <c r="S9" s="3"/>
      <c r="T9" s="3"/>
      <c r="U9" s="1" t="s">
        <v>18</v>
      </c>
      <c r="V9" s="3" t="s">
        <v>13</v>
      </c>
      <c r="AC9" s="3"/>
      <c r="AE9" s="8">
        <v>1</v>
      </c>
      <c r="AG9" s="5" t="str">
        <f>VLOOKUP(AI9,K12:L500,2,FALSE)</f>
        <v>wanderson.silva@westecnologia.com</v>
      </c>
      <c r="AH9" s="5"/>
      <c r="AI9" s="8">
        <f>LARGE(K10:K500,1)</f>
        <v>5</v>
      </c>
    </row>
    <row r="10" spans="2:37" ht="18" x14ac:dyDescent="0.35">
      <c r="B10" s="3" t="s">
        <v>3</v>
      </c>
      <c r="C10" s="3"/>
      <c r="D10" s="3"/>
      <c r="E10" s="3"/>
      <c r="F10" s="3"/>
      <c r="G10" s="3"/>
      <c r="H10" s="3"/>
      <c r="AE10" s="8">
        <v>2</v>
      </c>
      <c r="AG10" s="5">
        <f t="shared" ref="AG10:AG13" si="0">VLOOKUP(AI10,K13:L501,2,FALSE)</f>
        <v>0</v>
      </c>
      <c r="AH10" s="5"/>
      <c r="AI10" s="8">
        <f>LARGE(K11:K501,2)</f>
        <v>0</v>
      </c>
    </row>
    <row r="11" spans="2:37" ht="14.4" customHeight="1" x14ac:dyDescent="0.35">
      <c r="B11" s="3"/>
      <c r="C11" s="3"/>
      <c r="D11" s="3"/>
      <c r="E11" s="3"/>
      <c r="F11" s="3"/>
      <c r="G11" s="3"/>
      <c r="H11" s="3"/>
      <c r="S11" s="6"/>
      <c r="AE11" s="8">
        <v>3</v>
      </c>
      <c r="AG11" s="5">
        <f t="shared" si="0"/>
        <v>0</v>
      </c>
      <c r="AH11" s="5"/>
      <c r="AI11" s="8">
        <f>LARGE(K12:K502,3)</f>
        <v>0</v>
      </c>
    </row>
    <row r="12" spans="2:37" ht="14.4" customHeight="1" x14ac:dyDescent="0.35">
      <c r="B12" s="3" t="s">
        <v>15</v>
      </c>
      <c r="D12" s="3"/>
      <c r="E12" s="3">
        <f>COUNTA(Relatorio!E2:E9848)</f>
        <v>5</v>
      </c>
      <c r="F12" s="3"/>
      <c r="G12" s="3"/>
      <c r="H12" s="3"/>
      <c r="K12" s="1">
        <f>COUNTIF(Relatorio!$B$2:$B$4906,L12)</f>
        <v>5</v>
      </c>
      <c r="L12" s="1" t="s">
        <v>33</v>
      </c>
      <c r="R12" s="5"/>
      <c r="S12" s="5"/>
      <c r="U12" s="1">
        <f>COUNTIF(Relatorio!C2:C4907,V12)</f>
        <v>3</v>
      </c>
      <c r="V12" s="1" t="s">
        <v>34</v>
      </c>
      <c r="AC12" s="5"/>
      <c r="AE12" s="8">
        <v>4</v>
      </c>
      <c r="AG12" s="5">
        <f t="shared" si="0"/>
        <v>0</v>
      </c>
      <c r="AH12" s="5"/>
      <c r="AI12" s="8">
        <f>LARGE(K13:K503,4)</f>
        <v>0</v>
      </c>
    </row>
    <row r="13" spans="2:37" ht="14.4" customHeight="1" x14ac:dyDescent="0.35">
      <c r="B13" s="14" t="s">
        <v>9</v>
      </c>
      <c r="C13" s="14"/>
      <c r="D13" s="14"/>
      <c r="E13" s="3">
        <f>COUNTIF(Relatorio!H2:H972,"OneDrive")</f>
        <v>3</v>
      </c>
      <c r="F13" s="3"/>
      <c r="G13" s="3"/>
      <c r="H13" s="3"/>
      <c r="K13" s="1">
        <f>COUNTIF(Relatorio!$B$2:$B$4906,L13)</f>
        <v>0</v>
      </c>
      <c r="T13" s="3"/>
      <c r="U13" s="1">
        <f>COUNTIF(Relatorio!C6:C4908,V13)</f>
        <v>1</v>
      </c>
      <c r="V13" s="1" t="s">
        <v>40</v>
      </c>
      <c r="AC13" s="5"/>
      <c r="AE13" s="8">
        <v>5</v>
      </c>
      <c r="AG13" s="5">
        <f t="shared" si="0"/>
        <v>0</v>
      </c>
      <c r="AH13" s="5"/>
      <c r="AI13" s="8">
        <f>LARGE(K14:K504,5)</f>
        <v>0</v>
      </c>
    </row>
    <row r="14" spans="2:37" ht="14.4" customHeight="1" x14ac:dyDescent="0.35">
      <c r="B14" s="14" t="s">
        <v>10</v>
      </c>
      <c r="C14" s="14"/>
      <c r="D14" s="14"/>
      <c r="E14" s="3">
        <f>COUNTIF(Relatorio!H2:H972,"SharePoint")</f>
        <v>2</v>
      </c>
      <c r="F14" s="3"/>
      <c r="G14" s="3"/>
      <c r="H14" s="3"/>
      <c r="K14" s="1">
        <f>COUNTIF(Relatorio!$B$2:$B$4906,L14)</f>
        <v>0</v>
      </c>
      <c r="S14" s="5"/>
      <c r="U14" s="1">
        <f>COUNTIF(Relatorio!C6:C4909,V14)</f>
        <v>0</v>
      </c>
      <c r="AC14" s="5"/>
      <c r="AE14" s="8"/>
    </row>
    <row r="15" spans="2:37" ht="14.4" customHeight="1" x14ac:dyDescent="0.35">
      <c r="B15" s="3" t="s">
        <v>31</v>
      </c>
      <c r="C15" s="3"/>
      <c r="D15" s="3"/>
      <c r="E15" s="3">
        <f>COUNTIF(Relatorio!C2:C5000,"Anyone with the link can access")</f>
        <v>3</v>
      </c>
      <c r="F15" s="3"/>
      <c r="G15" s="3"/>
      <c r="H15" s="3"/>
      <c r="K15" s="1">
        <f>COUNTIF(Relatorio!$B$2:$B$4906,L15)</f>
        <v>0</v>
      </c>
      <c r="S15" s="5"/>
      <c r="U15" s="1">
        <f>COUNTIF(Relatorio!C6:C4910,V15)</f>
        <v>0</v>
      </c>
      <c r="AC15" s="5"/>
    </row>
    <row r="16" spans="2:37" ht="14.4" customHeight="1" x14ac:dyDescent="0.35">
      <c r="C16" s="3"/>
      <c r="D16" s="3"/>
      <c r="E16" s="3"/>
      <c r="F16" s="3"/>
      <c r="G16" s="3"/>
      <c r="H16" s="3"/>
      <c r="K16" s="1">
        <f>COUNTIF(Relatorio!$B$2:$B$4906,L16)</f>
        <v>0</v>
      </c>
      <c r="S16" s="5"/>
      <c r="U16" s="1">
        <f>COUNTIF(Relatorio!C6:C4911,V16)</f>
        <v>0</v>
      </c>
      <c r="AC16" s="5"/>
    </row>
    <row r="17" spans="2:37" ht="14.4" customHeight="1" x14ac:dyDescent="0.35">
      <c r="C17" s="3"/>
      <c r="D17" s="3"/>
      <c r="E17" s="3"/>
      <c r="F17" s="3"/>
      <c r="G17" s="3"/>
      <c r="H17" s="3"/>
      <c r="K17" s="1">
        <f>COUNTIF(Relatorio!$B$2:$B$4906,L17)</f>
        <v>0</v>
      </c>
      <c r="S17" s="5"/>
      <c r="U17" s="1">
        <f>COUNTIF(Relatorio!C6:C4912,V17)</f>
        <v>0</v>
      </c>
      <c r="AC17" s="5"/>
    </row>
    <row r="18" spans="2:37" ht="14.4" customHeight="1" x14ac:dyDescent="0.35">
      <c r="B18" s="3"/>
      <c r="C18" s="3"/>
      <c r="D18" s="3"/>
      <c r="E18" s="3"/>
      <c r="F18" s="3"/>
      <c r="G18" s="3"/>
      <c r="H18" s="3"/>
      <c r="K18" s="1">
        <f>COUNTIF(Relatorio!$B$2:$B$4906,L18)</f>
        <v>0</v>
      </c>
      <c r="S18" s="5"/>
      <c r="U18" s="1">
        <f>COUNTIF(Relatorio!C6:C4913,V18)</f>
        <v>0</v>
      </c>
      <c r="AC18" s="5"/>
    </row>
    <row r="19" spans="2:37" ht="14.4" customHeight="1" x14ac:dyDescent="0.35">
      <c r="B19" s="3" t="s">
        <v>17</v>
      </c>
      <c r="C19" s="3"/>
      <c r="D19" s="3"/>
      <c r="E19" s="3"/>
      <c r="F19" s="3"/>
      <c r="G19" s="3"/>
      <c r="H19" s="3"/>
      <c r="K19" s="1">
        <f>COUNTIF(Relatorio!$B$2:$B$4906,L19)</f>
        <v>0</v>
      </c>
      <c r="S19" s="5"/>
      <c r="U19" s="1">
        <f>COUNTIF(Relatorio!C6:C4914,V19)</f>
        <v>0</v>
      </c>
      <c r="AC19" s="5"/>
    </row>
    <row r="20" spans="2:37" ht="14.4" customHeight="1" x14ac:dyDescent="0.35">
      <c r="B20" s="3"/>
      <c r="C20" s="3"/>
      <c r="D20" s="3"/>
      <c r="E20" s="3"/>
      <c r="F20" s="3"/>
      <c r="G20" s="3"/>
      <c r="H20" s="3"/>
      <c r="I20" s="3"/>
      <c r="K20" s="1">
        <f>COUNTIF(Relatorio!$B$2:$B$4906,L20)</f>
        <v>0</v>
      </c>
      <c r="S20" s="5"/>
      <c r="U20" s="1">
        <f>COUNTIF(Relatorio!C6:C4915,V20)</f>
        <v>0</v>
      </c>
      <c r="AC20" s="5"/>
    </row>
    <row r="21" spans="2:37" ht="14.4" customHeight="1" x14ac:dyDescent="0.35">
      <c r="B21" s="3" t="s">
        <v>22</v>
      </c>
      <c r="C21" s="3" t="s">
        <v>23</v>
      </c>
      <c r="D21" s="3" t="s">
        <v>28</v>
      </c>
      <c r="E21" s="3"/>
      <c r="F21" s="3" t="s">
        <v>27</v>
      </c>
      <c r="G21" s="3"/>
      <c r="H21" s="3"/>
      <c r="I21" s="3"/>
      <c r="K21" s="1">
        <f>COUNTIF(Relatorio!$B$2:$B$4906,L21)</f>
        <v>0</v>
      </c>
      <c r="S21" s="5"/>
      <c r="U21" s="1">
        <f>COUNTIF(Relatorio!C6:C4916,V21)</f>
        <v>0</v>
      </c>
      <c r="AC21" s="5"/>
    </row>
    <row r="22" spans="2:37" ht="18" x14ac:dyDescent="0.35">
      <c r="B22" s="7">
        <v>1</v>
      </c>
      <c r="C22" s="3" t="s">
        <v>24</v>
      </c>
      <c r="D22" s="3" t="str">
        <f>LOOKUP($E$12,$B$22:$C$24)</f>
        <v>Baixo</v>
      </c>
      <c r="E22" s="3"/>
      <c r="F22" s="3" t="str">
        <f>IF($D$22=C22,"Baixo","")</f>
        <v>Baixo</v>
      </c>
      <c r="G22" s="3"/>
      <c r="H22" s="3"/>
      <c r="I22" s="3"/>
      <c r="K22" s="1">
        <f>COUNTIF(Relatorio!$B$2:$B$4906,L22)</f>
        <v>0</v>
      </c>
      <c r="S22" s="5"/>
      <c r="U22" s="1">
        <f>COUNTIF(Relatorio!C6:C4917,V22)</f>
        <v>0</v>
      </c>
      <c r="AC22" s="5"/>
      <c r="AE22" s="13" t="s">
        <v>21</v>
      </c>
      <c r="AF22" s="13"/>
      <c r="AG22" s="13"/>
      <c r="AH22" s="13"/>
      <c r="AI22" s="13"/>
      <c r="AJ22" s="13"/>
      <c r="AK22" s="13"/>
    </row>
    <row r="23" spans="2:37" ht="14.4" customHeight="1" x14ac:dyDescent="0.35">
      <c r="B23" s="7">
        <v>30</v>
      </c>
      <c r="C23" s="3" t="s">
        <v>26</v>
      </c>
      <c r="D23" s="3"/>
      <c r="E23" s="3"/>
      <c r="F23" s="3" t="str">
        <f>IF($D$22=C23,"Médio","")</f>
        <v/>
      </c>
      <c r="G23" s="3"/>
      <c r="H23" s="3"/>
      <c r="I23" s="3"/>
      <c r="K23" s="1">
        <f>COUNTIF(Relatorio!$B$2:$B$4906,L23)</f>
        <v>0</v>
      </c>
      <c r="S23" s="5"/>
      <c r="U23" s="1">
        <f>COUNTIF(Relatorio!C6:C4918,V23)</f>
        <v>0</v>
      </c>
      <c r="AC23" s="5"/>
      <c r="AE23" s="7" t="s">
        <v>19</v>
      </c>
    </row>
    <row r="24" spans="2:37" ht="14.4" customHeight="1" x14ac:dyDescent="0.35">
      <c r="B24" s="7">
        <v>80</v>
      </c>
      <c r="C24" s="3" t="s">
        <v>25</v>
      </c>
      <c r="D24" s="3"/>
      <c r="E24" s="3"/>
      <c r="F24" s="3" t="str">
        <f>IF($D$22=C24,"Alto","")</f>
        <v/>
      </c>
      <c r="G24" s="3"/>
      <c r="H24" s="3"/>
      <c r="I24" s="3"/>
      <c r="K24" s="1">
        <f>COUNTIF(Relatorio!$B$2:$B$4906,L24)</f>
        <v>0</v>
      </c>
      <c r="S24" s="5"/>
      <c r="U24" s="1">
        <f>COUNTIF(Relatorio!C6:C4919,V24)</f>
        <v>0</v>
      </c>
      <c r="AC24" s="5"/>
      <c r="AE24" s="8">
        <v>1</v>
      </c>
      <c r="AG24" s="5" t="str">
        <f>VLOOKUP(AI24,U12:V498,2,FALSE)</f>
        <v>Anyone with the link can access</v>
      </c>
      <c r="AI24" s="8">
        <f>LARGE($U$12:U500,AE24)</f>
        <v>3</v>
      </c>
    </row>
    <row r="25" spans="2:37" ht="18" x14ac:dyDescent="0.35">
      <c r="B25" s="7"/>
      <c r="C25" s="3"/>
      <c r="D25" s="3"/>
      <c r="E25" s="3"/>
      <c r="F25" s="3"/>
      <c r="G25" s="3"/>
      <c r="H25" s="3"/>
      <c r="I25" s="3"/>
      <c r="K25" s="1">
        <f>COUNTIF(Relatorio!$B$2:$B$4906,L25)</f>
        <v>0</v>
      </c>
      <c r="S25" s="5"/>
      <c r="U25" s="1">
        <f>COUNTIF(Relatorio!C6:C4920,V25)</f>
        <v>0</v>
      </c>
      <c r="AC25" s="5"/>
      <c r="AE25" s="8">
        <v>2</v>
      </c>
      <c r="AG25" s="5" t="str">
        <f t="shared" ref="AG25:AG28" si="1">VLOOKUP(AI25,U13:V499,2,FALSE)</f>
        <v>caio.2020202291_unicap.br#ext#@empresaxyz00.onmicrosoft.com</v>
      </c>
      <c r="AI25" s="8">
        <f>LARGE($U$12:U501,AE25)</f>
        <v>1</v>
      </c>
    </row>
    <row r="26" spans="2:37" ht="18" x14ac:dyDescent="0.35">
      <c r="B26" s="3"/>
      <c r="C26" s="3"/>
      <c r="K26" s="1">
        <f>COUNTIF(Relatorio!$B$2:$B$4906,L26)</f>
        <v>0</v>
      </c>
      <c r="S26" s="5"/>
      <c r="U26" s="1">
        <f>COUNTIF(Relatorio!C6:C4921,V26)</f>
        <v>0</v>
      </c>
      <c r="AC26" s="5"/>
      <c r="AE26" s="8">
        <v>3</v>
      </c>
      <c r="AG26" s="5">
        <f>VLOOKUP(AI26,U14:V500,2,FALSE)</f>
        <v>0</v>
      </c>
      <c r="AI26" s="8">
        <f>LARGE($U$12:U502,AE26)</f>
        <v>0</v>
      </c>
    </row>
    <row r="27" spans="2:37" x14ac:dyDescent="0.3">
      <c r="K27" s="1">
        <f>COUNTIF(Relatorio!$B$2:$B$4906,L27)</f>
        <v>0</v>
      </c>
      <c r="S27" s="5"/>
      <c r="U27" s="1">
        <f>COUNTIF(Relatorio!C6:C4922,V27)</f>
        <v>0</v>
      </c>
      <c r="AC27" s="5"/>
      <c r="AE27" s="8">
        <v>4</v>
      </c>
      <c r="AG27" s="5">
        <f t="shared" si="1"/>
        <v>0</v>
      </c>
      <c r="AI27" s="8">
        <f>LARGE($U$12:U503,AE27)</f>
        <v>0</v>
      </c>
    </row>
    <row r="28" spans="2:37" x14ac:dyDescent="0.3">
      <c r="K28" s="1">
        <f>COUNTIF(Relatorio!$B$2:$B$4906,L28)</f>
        <v>0</v>
      </c>
      <c r="S28" s="5"/>
      <c r="U28" s="1">
        <f>COUNTIF(Relatorio!C6:C4923,V28)</f>
        <v>0</v>
      </c>
      <c r="AC28" s="5"/>
      <c r="AE28" s="8">
        <v>5</v>
      </c>
      <c r="AG28" s="5">
        <f t="shared" si="1"/>
        <v>0</v>
      </c>
      <c r="AI28" s="8">
        <f>LARGE($U$12:U504,AE28)</f>
        <v>0</v>
      </c>
    </row>
    <row r="29" spans="2:37" x14ac:dyDescent="0.3">
      <c r="K29" s="1">
        <f>COUNTIF(Relatorio!$B$2:$B$4906,L29)</f>
        <v>0</v>
      </c>
      <c r="S29" s="5"/>
      <c r="U29" s="1">
        <f>COUNTIF(Relatorio!C6:C4924,V29)</f>
        <v>0</v>
      </c>
      <c r="AC29" s="5"/>
      <c r="AE29" s="8"/>
    </row>
    <row r="30" spans="2:37" x14ac:dyDescent="0.3">
      <c r="K30" s="1">
        <f>COUNTIF(Relatorio!$B$2:$B$4906,L30)</f>
        <v>0</v>
      </c>
      <c r="S30" s="5"/>
      <c r="U30" s="1">
        <f>COUNTIF(Relatorio!C6:C4925,V30)</f>
        <v>0</v>
      </c>
      <c r="AC30" s="5"/>
    </row>
    <row r="31" spans="2:37" x14ac:dyDescent="0.3">
      <c r="K31" s="1">
        <f>COUNTIF(Relatorio!$B$2:$B$4906,L31)</f>
        <v>0</v>
      </c>
      <c r="S31" s="5"/>
      <c r="U31" s="1">
        <f>COUNTIF(Relatorio!C6:C4926,V31)</f>
        <v>0</v>
      </c>
      <c r="AC31" s="5"/>
    </row>
    <row r="32" spans="2:37" x14ac:dyDescent="0.3">
      <c r="K32" s="1">
        <f>COUNTIF(Relatorio!$B$2:$B$4906,L32)</f>
        <v>0</v>
      </c>
      <c r="S32" s="5"/>
      <c r="U32" s="1">
        <f>COUNTIF(Relatorio!C6:C4927,V32)</f>
        <v>0</v>
      </c>
      <c r="AC32" s="5"/>
    </row>
    <row r="33" spans="11:29" x14ac:dyDescent="0.3">
      <c r="K33" s="1">
        <f>COUNTIF(Relatorio!$B$2:$B$4906,L33)</f>
        <v>0</v>
      </c>
      <c r="S33" s="5"/>
      <c r="U33" s="1">
        <f>COUNTIF(Relatorio!C6:C4928,V33)</f>
        <v>0</v>
      </c>
      <c r="AC33" s="5"/>
    </row>
    <row r="34" spans="11:29" x14ac:dyDescent="0.3">
      <c r="K34" s="1">
        <f>COUNTIF(Relatorio!$B$2:$B$4906,L34)</f>
        <v>0</v>
      </c>
      <c r="S34" s="5"/>
      <c r="U34" s="1">
        <f>COUNTIF(Relatorio!C6:C4929,V34)</f>
        <v>0</v>
      </c>
      <c r="AC34" s="5"/>
    </row>
    <row r="35" spans="11:29" x14ac:dyDescent="0.3">
      <c r="K35" s="1">
        <f>COUNTIF(Relatorio!$B$2:$B$4906,L35)</f>
        <v>0</v>
      </c>
      <c r="S35" s="5"/>
      <c r="U35" s="1">
        <f>COUNTIF(Relatorio!C6:C4930,V35)</f>
        <v>0</v>
      </c>
      <c r="AC35" s="5"/>
    </row>
    <row r="36" spans="11:29" x14ac:dyDescent="0.3">
      <c r="K36" s="1">
        <f>COUNTIF(Relatorio!$B$2:$B$4906,L36)</f>
        <v>0</v>
      </c>
      <c r="S36" s="5"/>
      <c r="U36" s="1">
        <f>COUNTIF(Relatorio!C6:C4931,V36)</f>
        <v>0</v>
      </c>
      <c r="AC36" s="5"/>
    </row>
    <row r="37" spans="11:29" x14ac:dyDescent="0.3">
      <c r="K37" s="1">
        <f>COUNTIF(Relatorio!$B$2:$B$4906,L37)</f>
        <v>0</v>
      </c>
      <c r="S37" s="5"/>
      <c r="U37" s="1">
        <f>COUNTIF(Relatorio!C6:C4932,V37)</f>
        <v>0</v>
      </c>
      <c r="AC37" s="5"/>
    </row>
    <row r="38" spans="11:29" x14ac:dyDescent="0.3">
      <c r="K38" s="1">
        <f>COUNTIF(Relatorio!$B$2:$B$4906,L38)</f>
        <v>0</v>
      </c>
      <c r="S38" s="5"/>
      <c r="U38" s="1">
        <f>COUNTIF(Relatorio!C6:C4933,V38)</f>
        <v>0</v>
      </c>
      <c r="AC38" s="5"/>
    </row>
    <row r="39" spans="11:29" x14ac:dyDescent="0.3">
      <c r="K39" s="1">
        <f>COUNTIF(Relatorio!$B$2:$B$4906,L39)</f>
        <v>0</v>
      </c>
      <c r="S39" s="5"/>
      <c r="U39" s="1">
        <f>COUNTIF(Relatorio!C6:C4934,V39)</f>
        <v>0</v>
      </c>
      <c r="AC39" s="5"/>
    </row>
    <row r="40" spans="11:29" x14ac:dyDescent="0.3">
      <c r="K40" s="1">
        <f>COUNTIF(Relatorio!$B$2:$B$4906,L40)</f>
        <v>0</v>
      </c>
      <c r="S40" s="5"/>
      <c r="U40" s="1">
        <f>COUNTIF(Relatorio!C6:C4935,V40)</f>
        <v>0</v>
      </c>
      <c r="AC40" s="5"/>
    </row>
    <row r="41" spans="11:29" x14ac:dyDescent="0.3">
      <c r="K41" s="1">
        <f>COUNTIF(Relatorio!$B$2:$B$4906,L41)</f>
        <v>0</v>
      </c>
      <c r="S41" s="5"/>
      <c r="U41" s="1">
        <f>COUNTIF(Relatorio!C6:C4936,V41)</f>
        <v>0</v>
      </c>
      <c r="AC41" s="5"/>
    </row>
    <row r="42" spans="11:29" x14ac:dyDescent="0.3">
      <c r="K42" s="1">
        <f>COUNTIF(Relatorio!$B$2:$B$4906,L42)</f>
        <v>0</v>
      </c>
      <c r="S42" s="5"/>
      <c r="U42" s="1">
        <f>COUNTIF(Relatorio!C6:C4937,V42)</f>
        <v>0</v>
      </c>
      <c r="AC42" s="5"/>
    </row>
    <row r="43" spans="11:29" x14ac:dyDescent="0.3">
      <c r="K43" s="1">
        <f>COUNTIF(Relatorio!$B$2:$B$4906,L43)</f>
        <v>0</v>
      </c>
      <c r="S43" s="5"/>
      <c r="U43" s="1">
        <f>COUNTIF(Relatorio!C6:C4938,V43)</f>
        <v>0</v>
      </c>
      <c r="AC43" s="5"/>
    </row>
    <row r="44" spans="11:29" x14ac:dyDescent="0.3">
      <c r="K44" s="1">
        <f>COUNTIF(Relatorio!$B$2:$B$4906,L44)</f>
        <v>0</v>
      </c>
      <c r="S44" s="5"/>
      <c r="U44" s="1">
        <f>COUNTIF(Relatorio!C6:C4939,V44)</f>
        <v>0</v>
      </c>
      <c r="AC44" s="5"/>
    </row>
    <row r="45" spans="11:29" x14ac:dyDescent="0.3">
      <c r="K45" s="1">
        <f>COUNTIF(Relatorio!$B$2:$B$4906,L45)</f>
        <v>0</v>
      </c>
      <c r="S45" s="5"/>
      <c r="U45" s="1">
        <f>COUNTIF(Relatorio!C6:C4940,V45)</f>
        <v>0</v>
      </c>
      <c r="AC45" s="5"/>
    </row>
    <row r="46" spans="11:29" x14ac:dyDescent="0.3">
      <c r="K46" s="1">
        <f>COUNTIF(Relatorio!$B$2:$B$4906,L46)</f>
        <v>0</v>
      </c>
      <c r="S46" s="5"/>
      <c r="U46" s="1">
        <f>COUNTIF(Relatorio!C6:C4941,V46)</f>
        <v>0</v>
      </c>
      <c r="AC46" s="5"/>
    </row>
    <row r="47" spans="11:29" x14ac:dyDescent="0.3">
      <c r="K47" s="1">
        <f>COUNTIF(Relatorio!$B$2:$B$4906,L47)</f>
        <v>0</v>
      </c>
      <c r="S47" s="5"/>
      <c r="U47" s="1">
        <f>COUNTIF(Relatorio!C6:C4942,V47)</f>
        <v>0</v>
      </c>
      <c r="AC47" s="5"/>
    </row>
    <row r="48" spans="11:29" x14ac:dyDescent="0.3">
      <c r="K48" s="1">
        <f>COUNTIF(Relatorio!$B$2:$B$4906,L48)</f>
        <v>0</v>
      </c>
      <c r="S48" s="5"/>
      <c r="U48" s="1">
        <f>COUNTIF(Relatorio!C6:C4943,V48)</f>
        <v>0</v>
      </c>
      <c r="AC48" s="5"/>
    </row>
    <row r="49" spans="11:29" x14ac:dyDescent="0.3">
      <c r="K49" s="1">
        <f>COUNTIF(Relatorio!$B$2:$B$4906,L49)</f>
        <v>0</v>
      </c>
      <c r="S49" s="5"/>
      <c r="U49" s="1">
        <f>COUNTIF(Relatorio!C6:C4944,V49)</f>
        <v>0</v>
      </c>
      <c r="AC49" s="5"/>
    </row>
    <row r="50" spans="11:29" x14ac:dyDescent="0.3">
      <c r="K50" s="1">
        <f>COUNTIF(Relatorio!$B$2:$B$4906,L50)</f>
        <v>0</v>
      </c>
      <c r="S50" s="5"/>
      <c r="U50" s="1">
        <f>COUNTIF(Relatorio!C6:C4945,V50)</f>
        <v>0</v>
      </c>
      <c r="AC50" s="5"/>
    </row>
    <row r="51" spans="11:29" x14ac:dyDescent="0.3">
      <c r="K51" s="1">
        <f>COUNTIF(Relatorio!$B$2:$B$4906,L51)</f>
        <v>0</v>
      </c>
      <c r="S51" s="5"/>
      <c r="U51" s="1">
        <f>COUNTIF(Relatorio!C6:C4946,V51)</f>
        <v>0</v>
      </c>
      <c r="AC51" s="5"/>
    </row>
    <row r="52" spans="11:29" x14ac:dyDescent="0.3">
      <c r="K52" s="1">
        <f>COUNTIF(Relatorio!$B$2:$B$4906,L52)</f>
        <v>0</v>
      </c>
      <c r="S52" s="5"/>
      <c r="U52" s="1">
        <f>COUNTIF(Relatorio!C6:C4947,V52)</f>
        <v>0</v>
      </c>
      <c r="AC52" s="5"/>
    </row>
    <row r="53" spans="11:29" x14ac:dyDescent="0.3">
      <c r="K53" s="1">
        <f>COUNTIF(Relatorio!$B$2:$B$4906,L53)</f>
        <v>0</v>
      </c>
      <c r="S53" s="5"/>
      <c r="U53" s="1">
        <f>COUNTIF(Relatorio!C6:C4948,V53)</f>
        <v>0</v>
      </c>
      <c r="AC53" s="5"/>
    </row>
    <row r="54" spans="11:29" x14ac:dyDescent="0.3">
      <c r="K54" s="1">
        <f>COUNTIF(Relatorio!$B$2:$B$4906,L54)</f>
        <v>0</v>
      </c>
      <c r="S54" s="5"/>
      <c r="U54" s="1">
        <f>COUNTIF(Relatorio!C6:C4949,V54)</f>
        <v>0</v>
      </c>
      <c r="AC54" s="5"/>
    </row>
    <row r="55" spans="11:29" x14ac:dyDescent="0.3">
      <c r="K55" s="1">
        <f>COUNTIF(Relatorio!$B$2:$B$4906,L55)</f>
        <v>0</v>
      </c>
      <c r="S55" s="5"/>
      <c r="U55" s="1">
        <f>COUNTIF(Relatorio!C6:C4950,V55)</f>
        <v>0</v>
      </c>
      <c r="AC55" s="5"/>
    </row>
    <row r="56" spans="11:29" x14ac:dyDescent="0.3">
      <c r="K56" s="1">
        <f>COUNTIF(Relatorio!$B$2:$B$4906,L56)</f>
        <v>0</v>
      </c>
      <c r="S56" s="5"/>
      <c r="U56" s="1">
        <f>COUNTIF(Relatorio!C6:C4951,V56)</f>
        <v>0</v>
      </c>
      <c r="AC56" s="5"/>
    </row>
    <row r="57" spans="11:29" x14ac:dyDescent="0.3">
      <c r="K57" s="1">
        <f>COUNTIF(Relatorio!$B$2:$B$4906,L57)</f>
        <v>0</v>
      </c>
      <c r="S57" s="5"/>
      <c r="U57" s="1">
        <f>COUNTIF(Relatorio!C6:C4952,V57)</f>
        <v>0</v>
      </c>
      <c r="AC57" s="5"/>
    </row>
    <row r="58" spans="11:29" x14ac:dyDescent="0.3">
      <c r="K58" s="1">
        <f>COUNTIF(Relatorio!$B$2:$B$4906,L58)</f>
        <v>0</v>
      </c>
      <c r="S58" s="5"/>
      <c r="U58" s="1">
        <f>COUNTIF(Relatorio!C6:C4953,V58)</f>
        <v>0</v>
      </c>
      <c r="AC58" s="5"/>
    </row>
    <row r="59" spans="11:29" x14ac:dyDescent="0.3">
      <c r="K59" s="1">
        <f>COUNTIF(Relatorio!$B$2:$B$4906,L59)</f>
        <v>0</v>
      </c>
      <c r="S59" s="5"/>
      <c r="U59" s="1">
        <f>COUNTIF(Relatorio!C6:C4954,V59)</f>
        <v>0</v>
      </c>
      <c r="AC59" s="5"/>
    </row>
    <row r="60" spans="11:29" x14ac:dyDescent="0.3">
      <c r="K60" s="1">
        <f>COUNTIF(Relatorio!$B$2:$B$4906,L60)</f>
        <v>0</v>
      </c>
      <c r="S60" s="5"/>
      <c r="U60" s="1">
        <f>COUNTIF(Relatorio!C6:C4955,V60)</f>
        <v>0</v>
      </c>
      <c r="AC60" s="5"/>
    </row>
    <row r="61" spans="11:29" x14ac:dyDescent="0.3">
      <c r="K61" s="1">
        <f>COUNTIF(Relatorio!$B$2:$B$4906,L61)</f>
        <v>0</v>
      </c>
      <c r="S61" s="5"/>
      <c r="U61" s="1">
        <f>COUNTIF(Relatorio!C6:C4956,V61)</f>
        <v>0</v>
      </c>
      <c r="AC61" s="5"/>
    </row>
    <row r="62" spans="11:29" x14ac:dyDescent="0.3">
      <c r="K62" s="1">
        <f>COUNTIF(Relatorio!$B$2:$B$4906,L62)</f>
        <v>0</v>
      </c>
      <c r="S62" s="5"/>
      <c r="U62" s="1">
        <f>COUNTIF(Relatorio!C6:C4957,V62)</f>
        <v>0</v>
      </c>
      <c r="AC62" s="5"/>
    </row>
    <row r="63" spans="11:29" x14ac:dyDescent="0.3">
      <c r="K63" s="1">
        <f>COUNTIF(Relatorio!$B$2:$B$4906,L63)</f>
        <v>0</v>
      </c>
      <c r="S63" s="5"/>
      <c r="U63" s="1">
        <f>COUNTIF(Relatorio!C6:C4958,V63)</f>
        <v>0</v>
      </c>
      <c r="AC63" s="5"/>
    </row>
    <row r="64" spans="11:29" x14ac:dyDescent="0.3">
      <c r="K64" s="1">
        <f>COUNTIF(Relatorio!$B$2:$B$4906,L64)</f>
        <v>0</v>
      </c>
      <c r="S64" s="5"/>
      <c r="U64" s="1">
        <f>COUNTIF(Relatorio!C6:C4959,V64)</f>
        <v>0</v>
      </c>
      <c r="AC64" s="5"/>
    </row>
    <row r="65" spans="11:29" x14ac:dyDescent="0.3">
      <c r="K65" s="1">
        <f>COUNTIF(Relatorio!$B$2:$B$4906,L65)</f>
        <v>0</v>
      </c>
      <c r="S65" s="5"/>
      <c r="U65" s="1">
        <f>COUNTIF(Relatorio!C6:C4960,V65)</f>
        <v>0</v>
      </c>
      <c r="AC65" s="5"/>
    </row>
    <row r="66" spans="11:29" x14ac:dyDescent="0.3">
      <c r="K66" s="1">
        <f>COUNTIF(Relatorio!$B$2:$B$4906,L66)</f>
        <v>0</v>
      </c>
      <c r="S66" s="5"/>
      <c r="U66" s="1">
        <f>COUNTIF(Relatorio!C6:C4961,V66)</f>
        <v>0</v>
      </c>
      <c r="AC66" s="5"/>
    </row>
    <row r="67" spans="11:29" x14ac:dyDescent="0.3">
      <c r="K67" s="1">
        <f>COUNTIF(Relatorio!$B$2:$B$4906,L67)</f>
        <v>0</v>
      </c>
      <c r="S67" s="5"/>
      <c r="U67" s="1">
        <f>COUNTIF(Relatorio!C6:C4962,V67)</f>
        <v>0</v>
      </c>
      <c r="AC67" s="5"/>
    </row>
    <row r="68" spans="11:29" x14ac:dyDescent="0.3">
      <c r="K68" s="1">
        <f>COUNTIF(Relatorio!$B$2:$B$4906,L68)</f>
        <v>0</v>
      </c>
      <c r="S68" s="5"/>
      <c r="U68" s="1">
        <f>COUNTIF(Relatorio!C6:C4963,V68)</f>
        <v>0</v>
      </c>
      <c r="AC68" s="5"/>
    </row>
    <row r="69" spans="11:29" x14ac:dyDescent="0.3">
      <c r="K69" s="1">
        <f>COUNTIF(Relatorio!$B$2:$B$4906,L69)</f>
        <v>0</v>
      </c>
      <c r="S69" s="5"/>
      <c r="U69" s="1">
        <f>COUNTIF(Relatorio!C6:C4964,V69)</f>
        <v>0</v>
      </c>
      <c r="AC69" s="5"/>
    </row>
    <row r="70" spans="11:29" x14ac:dyDescent="0.3">
      <c r="K70" s="1">
        <f>COUNTIF(Relatorio!$B$2:$B$4906,L70)</f>
        <v>0</v>
      </c>
      <c r="S70" s="5"/>
      <c r="U70" s="1">
        <f>COUNTIF(Relatorio!C6:C4965,V70)</f>
        <v>0</v>
      </c>
      <c r="AC70" s="5"/>
    </row>
    <row r="71" spans="11:29" x14ac:dyDescent="0.3">
      <c r="K71" s="1">
        <f>COUNTIF(Relatorio!$B$2:$B$4906,L71)</f>
        <v>0</v>
      </c>
      <c r="S71" s="5"/>
      <c r="U71" s="1">
        <f>COUNTIF(Relatorio!C6:C4966,V71)</f>
        <v>0</v>
      </c>
      <c r="AC71" s="5"/>
    </row>
    <row r="72" spans="11:29" x14ac:dyDescent="0.3">
      <c r="K72" s="1">
        <f>COUNTIF(Relatorio!$B$2:$B$4906,L72)</f>
        <v>0</v>
      </c>
      <c r="S72" s="5"/>
      <c r="U72" s="1">
        <f>COUNTIF(Relatorio!C6:C4967,V72)</f>
        <v>0</v>
      </c>
      <c r="AC72" s="5"/>
    </row>
    <row r="73" spans="11:29" x14ac:dyDescent="0.3">
      <c r="K73" s="1">
        <f>COUNTIF(Relatorio!$B$2:$B$4906,L73)</f>
        <v>0</v>
      </c>
      <c r="S73" s="5"/>
      <c r="U73" s="1">
        <f>COUNTIF(Relatorio!C6:C4968,V73)</f>
        <v>0</v>
      </c>
      <c r="AC73" s="5"/>
    </row>
    <row r="74" spans="11:29" x14ac:dyDescent="0.3">
      <c r="K74" s="1">
        <f>COUNTIF(Relatorio!$B$2:$B$4906,L74)</f>
        <v>0</v>
      </c>
      <c r="S74" s="5"/>
      <c r="U74" s="1">
        <f>COUNTIF(Relatorio!C6:C4969,V74)</f>
        <v>0</v>
      </c>
      <c r="AC74" s="5"/>
    </row>
    <row r="75" spans="11:29" x14ac:dyDescent="0.3">
      <c r="K75" s="1">
        <f>COUNTIF(Relatorio!$B$2:$B$4906,L75)</f>
        <v>0</v>
      </c>
      <c r="S75" s="5"/>
      <c r="U75" s="1">
        <f>COUNTIF(Relatorio!C6:C4970,V75)</f>
        <v>0</v>
      </c>
      <c r="AC75" s="5"/>
    </row>
    <row r="76" spans="11:29" x14ac:dyDescent="0.3">
      <c r="K76" s="1">
        <f>COUNTIF(Relatorio!$B$2:$B$4906,L76)</f>
        <v>0</v>
      </c>
      <c r="S76" s="5"/>
      <c r="U76" s="1">
        <f>COUNTIF(Relatorio!C6:C4971,V76)</f>
        <v>0</v>
      </c>
      <c r="AC76" s="5"/>
    </row>
    <row r="77" spans="11:29" x14ac:dyDescent="0.3">
      <c r="K77" s="1">
        <f>COUNTIF(Relatorio!$B$2:$B$4906,L77)</f>
        <v>0</v>
      </c>
      <c r="S77" s="5"/>
      <c r="U77" s="1">
        <f>COUNTIF(Relatorio!C6:C4972,V77)</f>
        <v>0</v>
      </c>
      <c r="AC77" s="5"/>
    </row>
    <row r="78" spans="11:29" x14ac:dyDescent="0.3">
      <c r="K78" s="1">
        <f>COUNTIF(Relatorio!$B$2:$B$4906,L78)</f>
        <v>0</v>
      </c>
      <c r="S78" s="5"/>
      <c r="U78" s="1">
        <f>COUNTIF(Relatorio!C6:C4973,V78)</f>
        <v>0</v>
      </c>
      <c r="AC78" s="5"/>
    </row>
    <row r="79" spans="11:29" x14ac:dyDescent="0.3">
      <c r="K79" s="1">
        <f>COUNTIF(Relatorio!$B$2:$B$4906,L79)</f>
        <v>0</v>
      </c>
      <c r="S79" s="5"/>
      <c r="U79" s="1">
        <f>COUNTIF(Relatorio!C6:C4974,V79)</f>
        <v>0</v>
      </c>
      <c r="AC79" s="5"/>
    </row>
    <row r="80" spans="11:29" x14ac:dyDescent="0.3">
      <c r="K80" s="1">
        <f>COUNTIF(Relatorio!$B$2:$B$4906,L80)</f>
        <v>0</v>
      </c>
      <c r="S80" s="5"/>
      <c r="U80" s="1">
        <f>COUNTIF(Relatorio!C6:C4975,V80)</f>
        <v>0</v>
      </c>
      <c r="AC80" s="5"/>
    </row>
    <row r="81" spans="11:29" x14ac:dyDescent="0.3">
      <c r="K81" s="1">
        <f>COUNTIF(Relatorio!$B$2:$B$4906,L81)</f>
        <v>0</v>
      </c>
      <c r="S81" s="5"/>
      <c r="U81" s="1">
        <f>COUNTIF(Relatorio!C6:C4976,V81)</f>
        <v>0</v>
      </c>
      <c r="AC81" s="5"/>
    </row>
    <row r="82" spans="11:29" x14ac:dyDescent="0.3">
      <c r="K82" s="1">
        <f>COUNTIF(Relatorio!$B$2:$B$4906,L82)</f>
        <v>0</v>
      </c>
      <c r="S82" s="5"/>
      <c r="U82" s="1">
        <f>COUNTIF(Relatorio!C6:C4977,V82)</f>
        <v>0</v>
      </c>
      <c r="AC82" s="5"/>
    </row>
    <row r="83" spans="11:29" x14ac:dyDescent="0.3">
      <c r="K83" s="1">
        <f>COUNTIF(Relatorio!$B$2:$B$4906,L83)</f>
        <v>0</v>
      </c>
      <c r="S83" s="5"/>
      <c r="U83" s="1">
        <f>COUNTIF(Relatorio!C6:C4978,V83)</f>
        <v>0</v>
      </c>
      <c r="AC83" s="5"/>
    </row>
    <row r="84" spans="11:29" x14ac:dyDescent="0.3">
      <c r="K84" s="1">
        <f>COUNTIF(Relatorio!$B$2:$B$4906,L84)</f>
        <v>0</v>
      </c>
      <c r="S84" s="5"/>
      <c r="U84" s="1">
        <f>COUNTIF(Relatorio!C6:C4979,V84)</f>
        <v>0</v>
      </c>
      <c r="AC84" s="5"/>
    </row>
    <row r="85" spans="11:29" x14ac:dyDescent="0.3">
      <c r="K85" s="1">
        <f>COUNTIF(Relatorio!$B$2:$B$4906,L85)</f>
        <v>0</v>
      </c>
      <c r="S85" s="5"/>
      <c r="U85" s="1">
        <f>COUNTIF(Relatorio!C6:C4980,V85)</f>
        <v>0</v>
      </c>
      <c r="AC85" s="5"/>
    </row>
    <row r="86" spans="11:29" x14ac:dyDescent="0.3">
      <c r="K86" s="1">
        <f>COUNTIF(Relatorio!$B$2:$B$4906,L86)</f>
        <v>0</v>
      </c>
      <c r="S86" s="5"/>
      <c r="U86" s="1">
        <f>COUNTIF(Relatorio!C6:C4981,V86)</f>
        <v>0</v>
      </c>
      <c r="AC86" s="5"/>
    </row>
    <row r="87" spans="11:29" x14ac:dyDescent="0.3">
      <c r="K87" s="1">
        <f>COUNTIF(Relatorio!$B$2:$B$4906,L87)</f>
        <v>0</v>
      </c>
      <c r="S87" s="5"/>
      <c r="U87" s="1">
        <f>COUNTIF(Relatorio!C6:C4982,V87)</f>
        <v>0</v>
      </c>
      <c r="AC87" s="5"/>
    </row>
    <row r="88" spans="11:29" x14ac:dyDescent="0.3">
      <c r="K88" s="1">
        <f>COUNTIF(Relatorio!$B$2:$B$4906,L88)</f>
        <v>0</v>
      </c>
      <c r="S88" s="5"/>
      <c r="U88" s="1">
        <f>COUNTIF(Relatorio!C6:C4983,V88)</f>
        <v>0</v>
      </c>
      <c r="AC88" s="5"/>
    </row>
    <row r="89" spans="11:29" x14ac:dyDescent="0.3">
      <c r="K89" s="1">
        <f>COUNTIF(Relatorio!$B$2:$B$4906,L89)</f>
        <v>0</v>
      </c>
      <c r="S89" s="5"/>
      <c r="U89" s="1">
        <f>COUNTIF(Relatorio!C6:C4984,V89)</f>
        <v>0</v>
      </c>
      <c r="AC89" s="5"/>
    </row>
    <row r="90" spans="11:29" x14ac:dyDescent="0.3">
      <c r="K90" s="1">
        <f>COUNTIF(Relatorio!$B$2:$B$4906,L90)</f>
        <v>0</v>
      </c>
      <c r="S90" s="5"/>
      <c r="U90" s="1">
        <f>COUNTIF(Relatorio!C6:C4985,V90)</f>
        <v>0</v>
      </c>
      <c r="AC90" s="5"/>
    </row>
    <row r="91" spans="11:29" x14ac:dyDescent="0.3">
      <c r="K91" s="1">
        <f>COUNTIF(Relatorio!$B$2:$B$4906,L91)</f>
        <v>0</v>
      </c>
      <c r="S91" s="5"/>
      <c r="U91" s="1">
        <f>COUNTIF(Relatorio!C6:C4986,V91)</f>
        <v>0</v>
      </c>
      <c r="AC91" s="5"/>
    </row>
    <row r="92" spans="11:29" x14ac:dyDescent="0.3">
      <c r="K92" s="1">
        <f>COUNTIF(Relatorio!$B$2:$B$4906,L92)</f>
        <v>0</v>
      </c>
      <c r="S92" s="5"/>
      <c r="U92" s="1">
        <f>COUNTIF(Relatorio!C6:C4987,V92)</f>
        <v>0</v>
      </c>
      <c r="AC92" s="5"/>
    </row>
    <row r="93" spans="11:29" x14ac:dyDescent="0.3">
      <c r="K93" s="1">
        <f>COUNTIF(Relatorio!$B$2:$B$4906,L93)</f>
        <v>0</v>
      </c>
      <c r="S93" s="5"/>
      <c r="U93" s="1">
        <f>COUNTIF(Relatorio!C6:C4988,V93)</f>
        <v>0</v>
      </c>
      <c r="AC93" s="5"/>
    </row>
    <row r="94" spans="11:29" x14ac:dyDescent="0.3">
      <c r="K94" s="1">
        <f>COUNTIF(Relatorio!$B$2:$B$4906,L94)</f>
        <v>0</v>
      </c>
      <c r="S94" s="5"/>
      <c r="U94" s="1">
        <f>COUNTIF(Relatorio!C6:C4989,V94)</f>
        <v>0</v>
      </c>
      <c r="AC94" s="5"/>
    </row>
    <row r="95" spans="11:29" x14ac:dyDescent="0.3">
      <c r="K95" s="1">
        <f>COUNTIF(Relatorio!$B$2:$B$4906,L95)</f>
        <v>0</v>
      </c>
      <c r="S95" s="5"/>
      <c r="U95" s="1">
        <f>COUNTIF(Relatorio!C6:C4990,V95)</f>
        <v>0</v>
      </c>
      <c r="AC95" s="5"/>
    </row>
    <row r="96" spans="11:29" x14ac:dyDescent="0.3">
      <c r="K96" s="1">
        <f>COUNTIF(Relatorio!$B$2:$B$4906,L96)</f>
        <v>0</v>
      </c>
      <c r="S96" s="5"/>
      <c r="U96" s="1">
        <f>COUNTIF(Relatorio!C6:C4991,V96)</f>
        <v>0</v>
      </c>
      <c r="AC96" s="5"/>
    </row>
    <row r="97" spans="11:29" x14ac:dyDescent="0.3">
      <c r="K97" s="1">
        <f>COUNTIF(Relatorio!$B$2:$B$4906,L97)</f>
        <v>0</v>
      </c>
      <c r="S97" s="5"/>
      <c r="U97" s="1">
        <f>COUNTIF(Relatorio!C6:C4992,V97)</f>
        <v>0</v>
      </c>
      <c r="AC97" s="5"/>
    </row>
    <row r="98" spans="11:29" x14ac:dyDescent="0.3">
      <c r="K98" s="1">
        <f>COUNTIF(Relatorio!$B$2:$B$4906,L98)</f>
        <v>0</v>
      </c>
      <c r="S98" s="5"/>
      <c r="U98" s="1">
        <f>COUNTIF(Relatorio!C6:C4993,V98)</f>
        <v>0</v>
      </c>
      <c r="AC98" s="5"/>
    </row>
    <row r="99" spans="11:29" x14ac:dyDescent="0.3">
      <c r="K99" s="1">
        <f>COUNTIF(Relatorio!$B$2:$B$4906,L99)</f>
        <v>0</v>
      </c>
      <c r="S99" s="5"/>
      <c r="U99" s="1">
        <f>COUNTIF(Relatorio!C6:C4994,V99)</f>
        <v>0</v>
      </c>
      <c r="AC99" s="5"/>
    </row>
    <row r="100" spans="11:29" x14ac:dyDescent="0.3">
      <c r="K100" s="1">
        <f>COUNTIF(Relatorio!$B$2:$B$4906,L100)</f>
        <v>0</v>
      </c>
      <c r="S100" s="5"/>
      <c r="U100" s="1">
        <f>COUNTIF(Relatorio!C6:C4995,V100)</f>
        <v>0</v>
      </c>
      <c r="AC100" s="5"/>
    </row>
    <row r="101" spans="11:29" x14ac:dyDescent="0.3">
      <c r="K101" s="1">
        <f>COUNTIF(Relatorio!$B$2:$B$4906,L101)</f>
        <v>0</v>
      </c>
      <c r="S101" s="5"/>
      <c r="U101" s="1">
        <f>COUNTIF(Relatorio!C6:C4996,V101)</f>
        <v>0</v>
      </c>
      <c r="AC101" s="5"/>
    </row>
    <row r="102" spans="11:29" x14ac:dyDescent="0.3">
      <c r="K102" s="1">
        <f>COUNTIF(Relatorio!$B$2:$B$4906,L102)</f>
        <v>0</v>
      </c>
      <c r="S102" s="5"/>
      <c r="U102" s="1">
        <f>COUNTIF(Relatorio!C6:C4997,V102)</f>
        <v>0</v>
      </c>
      <c r="AC102" s="5"/>
    </row>
    <row r="103" spans="11:29" x14ac:dyDescent="0.3">
      <c r="K103" s="1">
        <f>COUNTIF(Relatorio!$B$2:$B$4906,L103)</f>
        <v>0</v>
      </c>
      <c r="S103" s="5"/>
      <c r="U103" s="1">
        <f>COUNTIF(Relatorio!C6:C4998,V103)</f>
        <v>0</v>
      </c>
      <c r="AC103" s="5"/>
    </row>
    <row r="104" spans="11:29" x14ac:dyDescent="0.3">
      <c r="K104" s="1">
        <f>COUNTIF(Relatorio!$B$2:$B$4906,L104)</f>
        <v>0</v>
      </c>
      <c r="S104" s="5"/>
      <c r="U104" s="1">
        <f>COUNTIF(Relatorio!C6:C4999,V104)</f>
        <v>0</v>
      </c>
      <c r="AC104" s="5"/>
    </row>
    <row r="105" spans="11:29" x14ac:dyDescent="0.3">
      <c r="K105" s="1">
        <f>COUNTIF(Relatorio!$B$2:$B$4906,L105)</f>
        <v>0</v>
      </c>
      <c r="S105" s="5"/>
      <c r="U105" s="1">
        <f>COUNTIF(Relatorio!C6:C5000,V105)</f>
        <v>0</v>
      </c>
      <c r="AC105" s="5"/>
    </row>
    <row r="106" spans="11:29" x14ac:dyDescent="0.3">
      <c r="K106" s="1">
        <f>COUNTIF(Relatorio!$B$2:$B$4906,L106)</f>
        <v>0</v>
      </c>
      <c r="S106" s="5"/>
      <c r="U106" s="1">
        <f>COUNTIF(Relatorio!C6:C5001,V106)</f>
        <v>0</v>
      </c>
      <c r="AC106" s="5"/>
    </row>
    <row r="107" spans="11:29" x14ac:dyDescent="0.3">
      <c r="K107" s="1">
        <f>COUNTIF(Relatorio!$B$2:$B$4906,L107)</f>
        <v>0</v>
      </c>
      <c r="S107" s="5"/>
      <c r="U107" s="1">
        <f>COUNTIF(Relatorio!C6:C5002,V107)</f>
        <v>0</v>
      </c>
      <c r="AC107" s="5"/>
    </row>
    <row r="108" spans="11:29" x14ac:dyDescent="0.3">
      <c r="K108" s="1">
        <f>COUNTIF(Relatorio!$B$2:$B$4906,L108)</f>
        <v>0</v>
      </c>
      <c r="S108" s="5"/>
      <c r="U108" s="1">
        <f>COUNTIF(Relatorio!C6:C5003,V108)</f>
        <v>0</v>
      </c>
      <c r="AC108" s="5"/>
    </row>
    <row r="109" spans="11:29" x14ac:dyDescent="0.3">
      <c r="K109" s="1">
        <f>COUNTIF(Relatorio!$B$2:$B$4906,L109)</f>
        <v>0</v>
      </c>
      <c r="S109" s="5"/>
      <c r="U109" s="1">
        <f>COUNTIF(Relatorio!C6:C5004,V109)</f>
        <v>0</v>
      </c>
      <c r="AC109" s="5"/>
    </row>
    <row r="110" spans="11:29" x14ac:dyDescent="0.3">
      <c r="K110" s="1">
        <f>COUNTIF(Relatorio!$B$2:$B$4906,L110)</f>
        <v>0</v>
      </c>
      <c r="S110" s="5"/>
      <c r="U110" s="1">
        <f>COUNTIF(Relatorio!C6:C5005,V110)</f>
        <v>0</v>
      </c>
      <c r="AC110" s="5"/>
    </row>
    <row r="111" spans="11:29" x14ac:dyDescent="0.3">
      <c r="K111" s="1">
        <f>COUNTIF(Relatorio!$B$2:$B$4906,L111)</f>
        <v>0</v>
      </c>
      <c r="S111" s="5"/>
      <c r="U111" s="1">
        <f>COUNTIF(Relatorio!C7:C5006,V111)</f>
        <v>0</v>
      </c>
      <c r="AC111" s="5"/>
    </row>
    <row r="112" spans="11:29" x14ac:dyDescent="0.3">
      <c r="K112" s="1">
        <f>COUNTIF(Relatorio!$B$2:$B$4906,L112)</f>
        <v>0</v>
      </c>
      <c r="S112" s="5"/>
      <c r="U112" s="1">
        <f>COUNTIF(Relatorio!C8:C5007,V112)</f>
        <v>0</v>
      </c>
      <c r="AC112" s="5"/>
    </row>
    <row r="113" spans="11:29" x14ac:dyDescent="0.3">
      <c r="K113" s="1">
        <f>COUNTIF(Relatorio!$B$2:$B$4906,L113)</f>
        <v>0</v>
      </c>
      <c r="S113" s="5"/>
      <c r="U113" s="1">
        <f>COUNTIF(Relatorio!C9:C5008,V113)</f>
        <v>0</v>
      </c>
      <c r="AC113" s="5"/>
    </row>
    <row r="114" spans="11:29" x14ac:dyDescent="0.3">
      <c r="K114" s="1">
        <f>COUNTIF(Relatorio!$B$2:$B$4906,L114)</f>
        <v>0</v>
      </c>
      <c r="S114" s="5"/>
      <c r="U114" s="1">
        <f>COUNTIF(Relatorio!C10:C5009,V114)</f>
        <v>0</v>
      </c>
      <c r="AC114" s="5"/>
    </row>
    <row r="115" spans="11:29" x14ac:dyDescent="0.3">
      <c r="K115" s="1">
        <f>COUNTIF(Relatorio!$B$2:$B$4906,L115)</f>
        <v>0</v>
      </c>
      <c r="S115" s="5"/>
      <c r="U115" s="1">
        <f>COUNTIF(Relatorio!C11:C5010,V115)</f>
        <v>0</v>
      </c>
      <c r="AC115" s="5"/>
    </row>
    <row r="116" spans="11:29" x14ac:dyDescent="0.3">
      <c r="K116" s="1">
        <f>COUNTIF(Relatorio!$B$2:$B$4906,L116)</f>
        <v>0</v>
      </c>
      <c r="S116" s="5"/>
      <c r="U116" s="1">
        <f>COUNTIF(Relatorio!C12:C5011,V116)</f>
        <v>0</v>
      </c>
      <c r="AC116" s="5"/>
    </row>
    <row r="117" spans="11:29" x14ac:dyDescent="0.3">
      <c r="K117" s="1">
        <f>COUNTIF(Relatorio!$B$2:$B$4906,L117)</f>
        <v>0</v>
      </c>
      <c r="S117" s="5"/>
      <c r="U117" s="1">
        <f>COUNTIF(Relatorio!C13:C5012,V117)</f>
        <v>0</v>
      </c>
      <c r="AC117" s="5"/>
    </row>
    <row r="118" spans="11:29" x14ac:dyDescent="0.3">
      <c r="K118" s="1">
        <f>COUNTIF(Relatorio!$B$2:$B$4906,L118)</f>
        <v>0</v>
      </c>
      <c r="S118" s="5"/>
      <c r="U118" s="1">
        <f>COUNTIF(Relatorio!C14:C5013,V118)</f>
        <v>0</v>
      </c>
      <c r="AC118" s="5"/>
    </row>
    <row r="119" spans="11:29" x14ac:dyDescent="0.3">
      <c r="K119" s="1">
        <f>COUNTIF(Relatorio!$B$2:$B$4906,L119)</f>
        <v>0</v>
      </c>
      <c r="S119" s="5"/>
      <c r="U119" s="1">
        <f>COUNTIF(Relatorio!C15:C5014,V119)</f>
        <v>0</v>
      </c>
      <c r="AC119" s="5"/>
    </row>
    <row r="120" spans="11:29" x14ac:dyDescent="0.3">
      <c r="K120" s="1">
        <f>COUNTIF(Relatorio!$B$2:$B$4906,L120)</f>
        <v>0</v>
      </c>
      <c r="S120" s="5"/>
      <c r="U120" s="1">
        <f>COUNTIF(Relatorio!C16:C5015,V120)</f>
        <v>0</v>
      </c>
      <c r="AC120" s="5"/>
    </row>
    <row r="121" spans="11:29" x14ac:dyDescent="0.3">
      <c r="K121" s="1">
        <f>COUNTIF(Relatorio!$B$2:$B$4906,L121)</f>
        <v>0</v>
      </c>
      <c r="S121" s="5"/>
      <c r="U121" s="1">
        <f>COUNTIF(Relatorio!C17:C5016,V121)</f>
        <v>0</v>
      </c>
      <c r="AC121" s="5"/>
    </row>
    <row r="122" spans="11:29" x14ac:dyDescent="0.3">
      <c r="K122" s="1">
        <f>COUNTIF(Relatorio!$B$2:$B$4906,L122)</f>
        <v>0</v>
      </c>
      <c r="S122" s="5"/>
      <c r="U122" s="1">
        <f>COUNTIF(Relatorio!C18:C5017,V122)</f>
        <v>0</v>
      </c>
      <c r="AC122" s="5"/>
    </row>
    <row r="123" spans="11:29" x14ac:dyDescent="0.3">
      <c r="K123" s="1">
        <f>COUNTIF(Relatorio!$B$2:$B$4906,L123)</f>
        <v>0</v>
      </c>
      <c r="S123" s="5"/>
      <c r="U123" s="1">
        <f>COUNTIF(Relatorio!C19:C5018,V123)</f>
        <v>0</v>
      </c>
      <c r="AC123" s="5"/>
    </row>
    <row r="124" spans="11:29" x14ac:dyDescent="0.3">
      <c r="K124" s="1">
        <f>COUNTIF(Relatorio!$B$2:$B$4906,L124)</f>
        <v>0</v>
      </c>
      <c r="S124" s="5"/>
      <c r="U124" s="1">
        <f>COUNTIF(Relatorio!C20:C5019,V124)</f>
        <v>0</v>
      </c>
      <c r="AC124" s="5"/>
    </row>
    <row r="125" spans="11:29" x14ac:dyDescent="0.3">
      <c r="K125" s="1">
        <f>COUNTIF(Relatorio!$B$2:$B$4906,L125)</f>
        <v>0</v>
      </c>
      <c r="S125" s="5"/>
      <c r="U125" s="1">
        <f>COUNTIF(Relatorio!C21:C5020,V125)</f>
        <v>0</v>
      </c>
      <c r="AC125" s="5"/>
    </row>
    <row r="126" spans="11:29" x14ac:dyDescent="0.3">
      <c r="K126" s="1">
        <f>COUNTIF(Relatorio!$B$2:$B$4906,L126)</f>
        <v>0</v>
      </c>
      <c r="S126" s="5"/>
      <c r="U126" s="1">
        <f>COUNTIF(Relatorio!C22:C5021,V126)</f>
        <v>0</v>
      </c>
      <c r="AC126" s="5"/>
    </row>
    <row r="127" spans="11:29" x14ac:dyDescent="0.3">
      <c r="K127" s="1">
        <f>COUNTIF(Relatorio!$B$2:$B$4906,L127)</f>
        <v>0</v>
      </c>
      <c r="S127" s="5"/>
      <c r="U127" s="1">
        <f>COUNTIF(Relatorio!C23:C5022,V127)</f>
        <v>0</v>
      </c>
      <c r="AC127" s="5"/>
    </row>
    <row r="128" spans="11:29" x14ac:dyDescent="0.3">
      <c r="K128" s="1">
        <f>COUNTIF(Relatorio!$B$2:$B$4906,L128)</f>
        <v>0</v>
      </c>
      <c r="S128" s="5"/>
      <c r="U128" s="1">
        <f>COUNTIF(Relatorio!C24:C5023,V128)</f>
        <v>0</v>
      </c>
      <c r="AC128" s="5"/>
    </row>
    <row r="129" spans="11:29" x14ac:dyDescent="0.3">
      <c r="K129" s="1">
        <f>COUNTIF(Relatorio!$B$2:$B$4906,L129)</f>
        <v>0</v>
      </c>
      <c r="S129" s="5"/>
      <c r="U129" s="1">
        <f>COUNTIF(Relatorio!C25:C5024,V129)</f>
        <v>0</v>
      </c>
      <c r="AC129" s="5"/>
    </row>
    <row r="130" spans="11:29" x14ac:dyDescent="0.3">
      <c r="K130" s="1">
        <f>COUNTIF(Relatorio!$B$2:$B$4906,L130)</f>
        <v>0</v>
      </c>
      <c r="S130" s="5"/>
      <c r="U130" s="1">
        <f>COUNTIF(Relatorio!C26:C5025,V130)</f>
        <v>0</v>
      </c>
      <c r="AC130" s="5"/>
    </row>
    <row r="131" spans="11:29" x14ac:dyDescent="0.3">
      <c r="K131" s="1">
        <f>COUNTIF(Relatorio!$B$2:$B$4906,L131)</f>
        <v>0</v>
      </c>
      <c r="S131" s="5"/>
      <c r="U131" s="1">
        <f>COUNTIF(Relatorio!C27:C5026,V131)</f>
        <v>0</v>
      </c>
      <c r="AC131" s="5"/>
    </row>
    <row r="132" spans="11:29" x14ac:dyDescent="0.3">
      <c r="K132" s="1">
        <f>COUNTIF(Relatorio!$B$2:$B$4906,L132)</f>
        <v>0</v>
      </c>
      <c r="S132" s="5"/>
      <c r="U132" s="1">
        <f>COUNTIF(Relatorio!C28:C5027,V132)</f>
        <v>0</v>
      </c>
      <c r="AC132" s="5"/>
    </row>
    <row r="133" spans="11:29" x14ac:dyDescent="0.3">
      <c r="K133" s="1">
        <f>COUNTIF(Relatorio!$B$2:$B$4906,L133)</f>
        <v>0</v>
      </c>
      <c r="S133" s="5"/>
      <c r="U133" s="1">
        <f>COUNTIF(Relatorio!C29:C5028,V133)</f>
        <v>0</v>
      </c>
      <c r="AC133" s="5"/>
    </row>
    <row r="134" spans="11:29" x14ac:dyDescent="0.3">
      <c r="K134" s="1">
        <f>COUNTIF(Relatorio!$B$2:$B$4906,L134)</f>
        <v>0</v>
      </c>
      <c r="S134" s="5"/>
      <c r="U134" s="1">
        <f>COUNTIF(Relatorio!C30:C5029,V134)</f>
        <v>0</v>
      </c>
      <c r="AC134" s="5"/>
    </row>
    <row r="135" spans="11:29" x14ac:dyDescent="0.3">
      <c r="K135" s="1">
        <f>COUNTIF(Relatorio!$B$2:$B$4906,L135)</f>
        <v>0</v>
      </c>
      <c r="S135" s="5"/>
      <c r="U135" s="1">
        <f>COUNTIF(Relatorio!C31:C5030,V135)</f>
        <v>0</v>
      </c>
      <c r="AC135" s="5"/>
    </row>
    <row r="136" spans="11:29" x14ac:dyDescent="0.3">
      <c r="K136" s="1">
        <f>COUNTIF(Relatorio!$B$2:$B$4906,L136)</f>
        <v>0</v>
      </c>
      <c r="S136" s="5"/>
      <c r="U136" s="1">
        <f>COUNTIF(Relatorio!C32:C5031,V136)</f>
        <v>0</v>
      </c>
      <c r="AC136" s="5"/>
    </row>
    <row r="137" spans="11:29" x14ac:dyDescent="0.3">
      <c r="K137" s="1">
        <f>COUNTIF(Relatorio!$B$2:$B$4906,L137)</f>
        <v>0</v>
      </c>
      <c r="S137" s="5"/>
      <c r="U137" s="1">
        <f>COUNTIF(Relatorio!C33:C5032,V137)</f>
        <v>0</v>
      </c>
      <c r="AC137" s="5"/>
    </row>
    <row r="138" spans="11:29" x14ac:dyDescent="0.3">
      <c r="K138" s="1">
        <f>COUNTIF(Relatorio!$B$2:$B$4906,L138)</f>
        <v>0</v>
      </c>
      <c r="S138" s="5"/>
      <c r="U138" s="1">
        <f>COUNTIF(Relatorio!C34:C5033,V138)</f>
        <v>0</v>
      </c>
      <c r="AC138" s="5"/>
    </row>
    <row r="139" spans="11:29" x14ac:dyDescent="0.3">
      <c r="K139" s="1">
        <f>COUNTIF(Relatorio!$B$2:$B$4906,L139)</f>
        <v>0</v>
      </c>
      <c r="S139" s="5"/>
      <c r="U139" s="1">
        <f>COUNTIF(Relatorio!C35:C5034,V139)</f>
        <v>0</v>
      </c>
      <c r="AC139" s="5"/>
    </row>
    <row r="140" spans="11:29" x14ac:dyDescent="0.3">
      <c r="K140" s="1">
        <f>COUNTIF(Relatorio!$B$2:$B$4906,L140)</f>
        <v>0</v>
      </c>
      <c r="S140" s="5"/>
      <c r="U140" s="1">
        <f>COUNTIF(Relatorio!C36:C5035,V140)</f>
        <v>0</v>
      </c>
      <c r="AC140" s="5"/>
    </row>
    <row r="141" spans="11:29" x14ac:dyDescent="0.3">
      <c r="K141" s="1">
        <f>COUNTIF(Relatorio!$B$2:$B$4906,L141)</f>
        <v>0</v>
      </c>
      <c r="S141" s="5"/>
      <c r="U141" s="1">
        <f>COUNTIF(Relatorio!C37:C5036,V141)</f>
        <v>0</v>
      </c>
      <c r="AC141" s="5"/>
    </row>
    <row r="142" spans="11:29" x14ac:dyDescent="0.3">
      <c r="K142" s="1">
        <f>COUNTIF(Relatorio!$B$2:$B$4906,L142)</f>
        <v>0</v>
      </c>
      <c r="S142" s="5"/>
      <c r="U142" s="1">
        <f>COUNTIF(Relatorio!C38:C5037,V142)</f>
        <v>0</v>
      </c>
      <c r="AC142" s="5"/>
    </row>
    <row r="143" spans="11:29" x14ac:dyDescent="0.3">
      <c r="K143" s="1">
        <f>COUNTIF(Relatorio!$B$2:$B$4906,L143)</f>
        <v>0</v>
      </c>
      <c r="S143" s="5"/>
      <c r="U143" s="1">
        <f>COUNTIF(Relatorio!C39:C5038,V143)</f>
        <v>0</v>
      </c>
      <c r="AC143" s="5"/>
    </row>
    <row r="144" spans="11:29" x14ac:dyDescent="0.3">
      <c r="K144" s="1">
        <f>COUNTIF(Relatorio!$B$2:$B$4906,L144)</f>
        <v>0</v>
      </c>
      <c r="S144" s="5"/>
      <c r="U144" s="1">
        <f>COUNTIF(Relatorio!C40:C5039,V144)</f>
        <v>0</v>
      </c>
      <c r="AC144" s="5"/>
    </row>
    <row r="145" spans="11:29" x14ac:dyDescent="0.3">
      <c r="K145" s="1">
        <f>COUNTIF(Relatorio!$B$2:$B$4906,L145)</f>
        <v>0</v>
      </c>
      <c r="S145" s="5"/>
      <c r="U145" s="1">
        <f>COUNTIF(Relatorio!C41:C5040,V145)</f>
        <v>0</v>
      </c>
      <c r="AC145" s="5"/>
    </row>
    <row r="146" spans="11:29" x14ac:dyDescent="0.3">
      <c r="K146" s="1">
        <f>COUNTIF(Relatorio!$B$2:$B$4906,L146)</f>
        <v>0</v>
      </c>
      <c r="S146" s="5"/>
      <c r="U146" s="1">
        <f>COUNTIF(Relatorio!C42:C5041,V146)</f>
        <v>0</v>
      </c>
      <c r="AC146" s="5"/>
    </row>
    <row r="147" spans="11:29" x14ac:dyDescent="0.3">
      <c r="K147" s="1">
        <f>COUNTIF(Relatorio!$B$2:$B$4906,L147)</f>
        <v>0</v>
      </c>
      <c r="S147" s="5"/>
      <c r="U147" s="1">
        <f>COUNTIF(Relatorio!C43:C5042,V147)</f>
        <v>0</v>
      </c>
      <c r="AC147" s="5"/>
    </row>
    <row r="148" spans="11:29" x14ac:dyDescent="0.3">
      <c r="K148" s="1">
        <f>COUNTIF(Relatorio!$B$2:$B$4906,L148)</f>
        <v>0</v>
      </c>
      <c r="S148" s="5"/>
      <c r="U148" s="1">
        <f>COUNTIF(Relatorio!C44:C5043,V148)</f>
        <v>0</v>
      </c>
      <c r="AC148" s="5"/>
    </row>
    <row r="149" spans="11:29" x14ac:dyDescent="0.3">
      <c r="K149" s="1">
        <f>COUNTIF(Relatorio!$B$2:$B$4906,L149)</f>
        <v>0</v>
      </c>
      <c r="S149" s="5"/>
      <c r="U149" s="1">
        <f>COUNTIF(Relatorio!C45:C5044,V149)</f>
        <v>0</v>
      </c>
      <c r="AC149" s="5"/>
    </row>
    <row r="150" spans="11:29" x14ac:dyDescent="0.3">
      <c r="K150" s="1">
        <f>COUNTIF(Relatorio!$B$2:$B$4906,L150)</f>
        <v>0</v>
      </c>
      <c r="S150" s="5"/>
      <c r="U150" s="1">
        <f>COUNTIF(Relatorio!C46:C5045,V150)</f>
        <v>0</v>
      </c>
      <c r="AC150" s="5"/>
    </row>
    <row r="151" spans="11:29" x14ac:dyDescent="0.3">
      <c r="K151" s="1">
        <f>COUNTIF(Relatorio!$B$2:$B$4906,L151)</f>
        <v>0</v>
      </c>
      <c r="S151" s="5"/>
      <c r="U151" s="1">
        <f>COUNTIF(Relatorio!C47:C5046,V151)</f>
        <v>0</v>
      </c>
      <c r="AC151" s="5"/>
    </row>
    <row r="152" spans="11:29" x14ac:dyDescent="0.3">
      <c r="K152" s="1">
        <f>COUNTIF(Relatorio!$B$2:$B$4906,L152)</f>
        <v>0</v>
      </c>
      <c r="S152" s="5"/>
      <c r="U152" s="1">
        <f>COUNTIF(Relatorio!C48:C5047,V152)</f>
        <v>0</v>
      </c>
      <c r="AC152" s="5"/>
    </row>
    <row r="153" spans="11:29" x14ac:dyDescent="0.3">
      <c r="K153" s="1">
        <f>COUNTIF(Relatorio!$B$2:$B$4906,L153)</f>
        <v>0</v>
      </c>
      <c r="S153" s="5"/>
      <c r="U153" s="1">
        <f>COUNTIF(Relatorio!C49:C5048,V153)</f>
        <v>0</v>
      </c>
      <c r="AC153" s="5"/>
    </row>
    <row r="154" spans="11:29" x14ac:dyDescent="0.3">
      <c r="K154" s="1">
        <f>COUNTIF(Relatorio!$B$2:$B$4906,L154)</f>
        <v>0</v>
      </c>
      <c r="S154" s="5"/>
      <c r="U154" s="1">
        <f>COUNTIF(Relatorio!C50:C5049,V154)</f>
        <v>0</v>
      </c>
      <c r="AC154" s="5"/>
    </row>
    <row r="155" spans="11:29" x14ac:dyDescent="0.3">
      <c r="K155" s="1">
        <f>COUNTIF(Relatorio!$B$2:$B$4906,L155)</f>
        <v>0</v>
      </c>
      <c r="S155" s="5"/>
      <c r="U155" s="1">
        <f>COUNTIF(Relatorio!C51:C5050,V155)</f>
        <v>0</v>
      </c>
      <c r="AC155" s="5"/>
    </row>
    <row r="156" spans="11:29" x14ac:dyDescent="0.3">
      <c r="K156" s="1">
        <f>COUNTIF(Relatorio!$B$2:$B$4906,L156)</f>
        <v>0</v>
      </c>
      <c r="S156" s="5"/>
      <c r="U156" s="1">
        <f>COUNTIF(Relatorio!C52:C5051,V156)</f>
        <v>0</v>
      </c>
      <c r="AC156" s="5"/>
    </row>
    <row r="157" spans="11:29" x14ac:dyDescent="0.3">
      <c r="K157" s="1">
        <f>COUNTIF(Relatorio!$B$2:$B$4906,L157)</f>
        <v>0</v>
      </c>
      <c r="S157" s="5"/>
      <c r="U157" s="1">
        <f>COUNTIF(Relatorio!C53:C5052,V157)</f>
        <v>0</v>
      </c>
      <c r="AC157" s="5"/>
    </row>
    <row r="158" spans="11:29" x14ac:dyDescent="0.3">
      <c r="K158" s="1">
        <f>COUNTIF(Relatorio!$B$2:$B$4906,L158)</f>
        <v>0</v>
      </c>
      <c r="S158" s="5"/>
      <c r="U158" s="1">
        <f>COUNTIF(Relatorio!C54:C5053,V158)</f>
        <v>0</v>
      </c>
      <c r="AC158" s="5"/>
    </row>
    <row r="159" spans="11:29" x14ac:dyDescent="0.3">
      <c r="K159" s="1">
        <f>COUNTIF(Relatorio!$B$2:$B$4906,L159)</f>
        <v>0</v>
      </c>
      <c r="S159" s="5"/>
      <c r="U159" s="1">
        <f>COUNTIF(Relatorio!C55:C5054,V159)</f>
        <v>0</v>
      </c>
      <c r="AC159" s="5"/>
    </row>
    <row r="160" spans="11:29" x14ac:dyDescent="0.3">
      <c r="K160" s="1">
        <f>COUNTIF(Relatorio!$B$2:$B$4906,L160)</f>
        <v>0</v>
      </c>
      <c r="S160" s="5"/>
      <c r="U160" s="1">
        <f>COUNTIF(Relatorio!C56:C5055,V160)</f>
        <v>0</v>
      </c>
      <c r="AC160" s="5"/>
    </row>
    <row r="161" spans="11:29" x14ac:dyDescent="0.3">
      <c r="K161" s="1">
        <f>COUNTIF(Relatorio!$B$2:$B$4906,L161)</f>
        <v>0</v>
      </c>
      <c r="S161" s="5"/>
      <c r="U161" s="1">
        <f>COUNTIF(Relatorio!C57:C5056,V161)</f>
        <v>0</v>
      </c>
      <c r="AC161" s="5"/>
    </row>
    <row r="162" spans="11:29" x14ac:dyDescent="0.3">
      <c r="K162" s="1">
        <f>COUNTIF(Relatorio!$B$2:$B$4906,L162)</f>
        <v>0</v>
      </c>
      <c r="S162" s="5"/>
      <c r="U162" s="1">
        <f>COUNTIF(Relatorio!C58:C5057,V162)</f>
        <v>0</v>
      </c>
      <c r="AC162" s="5"/>
    </row>
    <row r="163" spans="11:29" x14ac:dyDescent="0.3">
      <c r="K163" s="1">
        <f>COUNTIF(Relatorio!$B$2:$B$4906,L163)</f>
        <v>0</v>
      </c>
      <c r="S163" s="5"/>
      <c r="U163" s="1">
        <f>COUNTIF(Relatorio!C59:C5058,V163)</f>
        <v>0</v>
      </c>
      <c r="AC163" s="5"/>
    </row>
    <row r="164" spans="11:29" x14ac:dyDescent="0.3">
      <c r="K164" s="1">
        <f>COUNTIF(Relatorio!$B$2:$B$4906,L164)</f>
        <v>0</v>
      </c>
      <c r="S164" s="5"/>
      <c r="U164" s="1">
        <f>COUNTIF(Relatorio!C60:C5059,V164)</f>
        <v>0</v>
      </c>
      <c r="AC164" s="5"/>
    </row>
    <row r="165" spans="11:29" x14ac:dyDescent="0.3">
      <c r="K165" s="1">
        <f>COUNTIF(Relatorio!$B$2:$B$4906,L165)</f>
        <v>0</v>
      </c>
      <c r="S165" s="5"/>
      <c r="U165" s="1">
        <f>COUNTIF(Relatorio!C61:C5060,V165)</f>
        <v>0</v>
      </c>
      <c r="AC165" s="5"/>
    </row>
    <row r="166" spans="11:29" x14ac:dyDescent="0.3">
      <c r="K166" s="1">
        <f>COUNTIF(Relatorio!$B$2:$B$4906,L166)</f>
        <v>0</v>
      </c>
      <c r="S166" s="5"/>
      <c r="U166" s="1">
        <f>COUNTIF(Relatorio!C62:C5061,V166)</f>
        <v>0</v>
      </c>
      <c r="AC166" s="5"/>
    </row>
    <row r="167" spans="11:29" x14ac:dyDescent="0.3">
      <c r="K167" s="1">
        <f>COUNTIF(Relatorio!$B$2:$B$4906,L167)</f>
        <v>0</v>
      </c>
      <c r="S167" s="5"/>
      <c r="U167" s="1">
        <f>COUNTIF(Relatorio!C63:C5062,V167)</f>
        <v>0</v>
      </c>
      <c r="AC167" s="5"/>
    </row>
    <row r="168" spans="11:29" x14ac:dyDescent="0.3">
      <c r="K168" s="1">
        <f>COUNTIF(Relatorio!$B$2:$B$4906,L168)</f>
        <v>0</v>
      </c>
      <c r="S168" s="5"/>
      <c r="U168" s="1">
        <f>COUNTIF(Relatorio!C64:C5063,V168)</f>
        <v>0</v>
      </c>
      <c r="AC168" s="5"/>
    </row>
    <row r="169" spans="11:29" x14ac:dyDescent="0.3">
      <c r="K169" s="1">
        <f>COUNTIF(Relatorio!$B$2:$B$4906,L169)</f>
        <v>0</v>
      </c>
      <c r="S169" s="5"/>
      <c r="U169" s="1">
        <f>COUNTIF(Relatorio!C65:C5064,V169)</f>
        <v>0</v>
      </c>
      <c r="AC169" s="5"/>
    </row>
    <row r="170" spans="11:29" x14ac:dyDescent="0.3">
      <c r="K170" s="1">
        <f>COUNTIF(Relatorio!$B$2:$B$4906,L170)</f>
        <v>0</v>
      </c>
      <c r="S170" s="5"/>
      <c r="U170" s="1">
        <f>COUNTIF(Relatorio!C66:C5065,V170)</f>
        <v>0</v>
      </c>
      <c r="AC170" s="5"/>
    </row>
    <row r="171" spans="11:29" x14ac:dyDescent="0.3">
      <c r="K171" s="1">
        <f>COUNTIF(Relatorio!$B$2:$B$4906,L171)</f>
        <v>0</v>
      </c>
      <c r="S171" s="5"/>
      <c r="U171" s="1">
        <f>COUNTIF(Relatorio!C67:C5066,V171)</f>
        <v>0</v>
      </c>
      <c r="AC171" s="5"/>
    </row>
    <row r="172" spans="11:29" x14ac:dyDescent="0.3">
      <c r="K172" s="1">
        <f>COUNTIF(Relatorio!$B$2:$B$4906,L172)</f>
        <v>0</v>
      </c>
      <c r="S172" s="5"/>
      <c r="U172" s="1">
        <f>COUNTIF(Relatorio!C68:C5067,V172)</f>
        <v>0</v>
      </c>
      <c r="AC172" s="5"/>
    </row>
    <row r="173" spans="11:29" x14ac:dyDescent="0.3">
      <c r="K173" s="1">
        <f>COUNTIF(Relatorio!$B$2:$B$4906,L173)</f>
        <v>0</v>
      </c>
      <c r="S173" s="5"/>
      <c r="U173" s="1">
        <f>COUNTIF(Relatorio!C69:C5068,V173)</f>
        <v>0</v>
      </c>
      <c r="AC173" s="5"/>
    </row>
    <row r="174" spans="11:29" x14ac:dyDescent="0.3">
      <c r="K174" s="1">
        <f>COUNTIF(Relatorio!$B$2:$B$4906,L174)</f>
        <v>0</v>
      </c>
      <c r="S174" s="5"/>
      <c r="U174" s="1">
        <f>COUNTIF(Relatorio!C70:C5069,V174)</f>
        <v>0</v>
      </c>
      <c r="AC174" s="5"/>
    </row>
    <row r="175" spans="11:29" x14ac:dyDescent="0.3">
      <c r="K175" s="1">
        <f>COUNTIF(Relatorio!$B$2:$B$4906,L175)</f>
        <v>0</v>
      </c>
      <c r="S175" s="5"/>
      <c r="U175" s="1">
        <f>COUNTIF(Relatorio!C71:C5070,V175)</f>
        <v>0</v>
      </c>
      <c r="AC175" s="5"/>
    </row>
    <row r="176" spans="11:29" x14ac:dyDescent="0.3">
      <c r="K176" s="1">
        <f>COUNTIF(Relatorio!$B$2:$B$4906,L176)</f>
        <v>0</v>
      </c>
      <c r="S176" s="5"/>
      <c r="U176" s="1">
        <f>COUNTIF(Relatorio!C72:C5071,V176)</f>
        <v>0</v>
      </c>
      <c r="AC176" s="5"/>
    </row>
    <row r="177" spans="11:29" x14ac:dyDescent="0.3">
      <c r="K177" s="1">
        <f>COUNTIF(Relatorio!$B$2:$B$4906,L177)</f>
        <v>0</v>
      </c>
      <c r="S177" s="5"/>
      <c r="U177" s="1">
        <f>COUNTIF(Relatorio!C73:C5072,V177)</f>
        <v>0</v>
      </c>
      <c r="AC177" s="5"/>
    </row>
    <row r="178" spans="11:29" x14ac:dyDescent="0.3">
      <c r="K178" s="1">
        <f>COUNTIF(Relatorio!$B$2:$B$4906,L178)</f>
        <v>0</v>
      </c>
      <c r="S178" s="5"/>
      <c r="U178" s="1">
        <f>COUNTIF(Relatorio!C74:C5073,V178)</f>
        <v>0</v>
      </c>
      <c r="AC178" s="5"/>
    </row>
    <row r="179" spans="11:29" x14ac:dyDescent="0.3">
      <c r="K179" s="1">
        <f>COUNTIF(Relatorio!$B$2:$B$4906,L179)</f>
        <v>0</v>
      </c>
      <c r="S179" s="5"/>
      <c r="U179" s="1">
        <f>COUNTIF(Relatorio!C75:C5074,V179)</f>
        <v>0</v>
      </c>
      <c r="AC179" s="5"/>
    </row>
    <row r="180" spans="11:29" x14ac:dyDescent="0.3">
      <c r="K180" s="1">
        <f>COUNTIF(Relatorio!$B$2:$B$4906,L180)</f>
        <v>0</v>
      </c>
      <c r="S180" s="5"/>
      <c r="U180" s="1">
        <f>COUNTIF(Relatorio!C76:C5075,V180)</f>
        <v>0</v>
      </c>
      <c r="AC180" s="5"/>
    </row>
    <row r="181" spans="11:29" x14ac:dyDescent="0.3">
      <c r="K181" s="1">
        <f>COUNTIF(Relatorio!$B$2:$B$4906,L181)</f>
        <v>0</v>
      </c>
      <c r="S181" s="5"/>
      <c r="U181" s="1">
        <f>COUNTIF(Relatorio!C77:C5076,V181)</f>
        <v>0</v>
      </c>
      <c r="AC181" s="5"/>
    </row>
    <row r="182" spans="11:29" x14ac:dyDescent="0.3">
      <c r="K182" s="1">
        <f>COUNTIF(Relatorio!$B$2:$B$4906,L182)</f>
        <v>0</v>
      </c>
      <c r="S182" s="5"/>
      <c r="U182" s="1">
        <f>COUNTIF(Relatorio!C78:C5077,V182)</f>
        <v>0</v>
      </c>
      <c r="AC182" s="5"/>
    </row>
    <row r="183" spans="11:29" x14ac:dyDescent="0.3">
      <c r="K183" s="1">
        <f>COUNTIF(Relatorio!$B$2:$B$4906,L183)</f>
        <v>0</v>
      </c>
      <c r="S183" s="5"/>
      <c r="U183" s="1">
        <f>COUNTIF(Relatorio!C79:C5078,V183)</f>
        <v>0</v>
      </c>
      <c r="AC183" s="5"/>
    </row>
    <row r="184" spans="11:29" x14ac:dyDescent="0.3">
      <c r="K184" s="1">
        <f>COUNTIF(Relatorio!$B$2:$B$4906,L184)</f>
        <v>0</v>
      </c>
      <c r="S184" s="5"/>
      <c r="U184" s="1">
        <f>COUNTIF(Relatorio!C80:C5079,V184)</f>
        <v>0</v>
      </c>
      <c r="AC184" s="5"/>
    </row>
    <row r="185" spans="11:29" x14ac:dyDescent="0.3">
      <c r="K185" s="1">
        <f>COUNTIF(Relatorio!$B$2:$B$4906,L185)</f>
        <v>0</v>
      </c>
      <c r="S185" s="5"/>
      <c r="U185" s="1">
        <f>COUNTIF(Relatorio!C81:C5080,V185)</f>
        <v>0</v>
      </c>
      <c r="AC185" s="5"/>
    </row>
    <row r="186" spans="11:29" x14ac:dyDescent="0.3">
      <c r="K186" s="1">
        <f>COUNTIF(Relatorio!$B$2:$B$4906,L186)</f>
        <v>0</v>
      </c>
      <c r="S186" s="5"/>
      <c r="U186" s="1">
        <f>COUNTIF(Relatorio!C82:C5081,V186)</f>
        <v>0</v>
      </c>
      <c r="AC186" s="5"/>
    </row>
    <row r="187" spans="11:29" x14ac:dyDescent="0.3">
      <c r="K187" s="1">
        <f>COUNTIF(Relatorio!$B$2:$B$4906,L187)</f>
        <v>0</v>
      </c>
      <c r="S187" s="5"/>
      <c r="U187" s="1">
        <f>COUNTIF(Relatorio!C83:C5082,V187)</f>
        <v>0</v>
      </c>
      <c r="AC187" s="5"/>
    </row>
    <row r="188" spans="11:29" x14ac:dyDescent="0.3">
      <c r="K188" s="1">
        <f>COUNTIF(Relatorio!$B$2:$B$4906,L188)</f>
        <v>0</v>
      </c>
      <c r="S188" s="5"/>
      <c r="U188" s="1">
        <f>COUNTIF(Relatorio!C84:C5083,V188)</f>
        <v>0</v>
      </c>
      <c r="AC188" s="5"/>
    </row>
    <row r="189" spans="11:29" x14ac:dyDescent="0.3">
      <c r="K189" s="1">
        <f>COUNTIF(Relatorio!$B$2:$B$4906,L189)</f>
        <v>0</v>
      </c>
      <c r="S189" s="5"/>
      <c r="U189" s="1">
        <f>COUNTIF(Relatorio!C85:C5084,V189)</f>
        <v>0</v>
      </c>
      <c r="AC189" s="5"/>
    </row>
    <row r="190" spans="11:29" x14ac:dyDescent="0.3">
      <c r="K190" s="1">
        <f>COUNTIF(Relatorio!$B$2:$B$4906,L190)</f>
        <v>0</v>
      </c>
      <c r="S190" s="5"/>
      <c r="U190" s="1">
        <f>COUNTIF(Relatorio!C86:C5085,V190)</f>
        <v>0</v>
      </c>
      <c r="AC190" s="5"/>
    </row>
    <row r="191" spans="11:29" x14ac:dyDescent="0.3">
      <c r="K191" s="1">
        <f>COUNTIF(Relatorio!$B$2:$B$4906,L191)</f>
        <v>0</v>
      </c>
      <c r="S191" s="5"/>
      <c r="U191" s="1">
        <f>COUNTIF(Relatorio!C87:C5086,V191)</f>
        <v>0</v>
      </c>
      <c r="AC191" s="5"/>
    </row>
    <row r="192" spans="11:29" x14ac:dyDescent="0.3">
      <c r="K192" s="1">
        <f>COUNTIF(Relatorio!$B$2:$B$4906,L192)</f>
        <v>0</v>
      </c>
      <c r="S192" s="5"/>
      <c r="U192" s="1">
        <f>COUNTIF(Relatorio!C88:C5087,V192)</f>
        <v>0</v>
      </c>
      <c r="AC192" s="5"/>
    </row>
    <row r="193" spans="11:29" x14ac:dyDescent="0.3">
      <c r="K193" s="1">
        <f>COUNTIF(Relatorio!$B$2:$B$4906,L193)</f>
        <v>0</v>
      </c>
      <c r="S193" s="5"/>
      <c r="U193" s="1">
        <f>COUNTIF(Relatorio!C89:C5088,V193)</f>
        <v>0</v>
      </c>
      <c r="AC193" s="5"/>
    </row>
    <row r="194" spans="11:29" x14ac:dyDescent="0.3">
      <c r="K194" s="1">
        <f>COUNTIF(Relatorio!$B$2:$B$4906,L194)</f>
        <v>0</v>
      </c>
      <c r="S194" s="5"/>
      <c r="U194" s="1">
        <f>COUNTIF(Relatorio!C90:C5089,V194)</f>
        <v>0</v>
      </c>
      <c r="AC194" s="5"/>
    </row>
    <row r="195" spans="11:29" x14ac:dyDescent="0.3">
      <c r="K195" s="1">
        <f>COUNTIF(Relatorio!$B$2:$B$4906,L195)</f>
        <v>0</v>
      </c>
      <c r="S195" s="5"/>
      <c r="U195" s="1">
        <f>COUNTIF(Relatorio!C91:C5090,V195)</f>
        <v>0</v>
      </c>
      <c r="AC195" s="5"/>
    </row>
    <row r="196" spans="11:29" x14ac:dyDescent="0.3">
      <c r="K196" s="1">
        <f>COUNTIF(Relatorio!$B$2:$B$4906,L196)</f>
        <v>0</v>
      </c>
      <c r="S196" s="5"/>
      <c r="U196" s="1">
        <f>COUNTIF(Relatorio!C92:C5091,V196)</f>
        <v>0</v>
      </c>
      <c r="AC196" s="5"/>
    </row>
    <row r="197" spans="11:29" x14ac:dyDescent="0.3">
      <c r="K197" s="1">
        <f>COUNTIF(Relatorio!$B$2:$B$4906,L197)</f>
        <v>0</v>
      </c>
      <c r="S197" s="5"/>
      <c r="U197" s="1">
        <f>COUNTIF(Relatorio!C93:C5092,V197)</f>
        <v>0</v>
      </c>
      <c r="AC197" s="5"/>
    </row>
    <row r="198" spans="11:29" x14ac:dyDescent="0.3">
      <c r="K198" s="1">
        <f>COUNTIF(Relatorio!$B$2:$B$4906,L198)</f>
        <v>0</v>
      </c>
      <c r="S198" s="5"/>
      <c r="U198" s="1">
        <f>COUNTIF(Relatorio!C94:C5093,V198)</f>
        <v>0</v>
      </c>
      <c r="AC198" s="5"/>
    </row>
    <row r="199" spans="11:29" x14ac:dyDescent="0.3">
      <c r="K199" s="1">
        <f>COUNTIF(Relatorio!$B$2:$B$4906,L199)</f>
        <v>0</v>
      </c>
      <c r="S199" s="5"/>
      <c r="U199" s="1">
        <f>COUNTIF(Relatorio!C95:C5094,V199)</f>
        <v>0</v>
      </c>
      <c r="AC199" s="5"/>
    </row>
    <row r="200" spans="11:29" x14ac:dyDescent="0.3">
      <c r="K200" s="1">
        <f>COUNTIF(Relatorio!$B$2:$B$4906,L200)</f>
        <v>0</v>
      </c>
      <c r="S200" s="5"/>
      <c r="U200" s="1">
        <f>COUNTIF(Relatorio!C96:C5095,V200)</f>
        <v>0</v>
      </c>
      <c r="AC200" s="5"/>
    </row>
    <row r="201" spans="11:29" x14ac:dyDescent="0.3">
      <c r="K201" s="1">
        <f>COUNTIF(Relatorio!$B$2:$B$4906,L201)</f>
        <v>0</v>
      </c>
      <c r="S201" s="5"/>
      <c r="U201" s="1">
        <f>COUNTIF(Relatorio!C97:C5096,V201)</f>
        <v>0</v>
      </c>
      <c r="AC201" s="5"/>
    </row>
    <row r="202" spans="11:29" x14ac:dyDescent="0.3">
      <c r="K202" s="1">
        <f>COUNTIF(Relatorio!$B$2:$B$4906,L202)</f>
        <v>0</v>
      </c>
      <c r="S202" s="5"/>
      <c r="U202" s="1">
        <f>COUNTIF(Relatorio!C98:C5097,V202)</f>
        <v>0</v>
      </c>
      <c r="AC202" s="5"/>
    </row>
    <row r="203" spans="11:29" x14ac:dyDescent="0.3">
      <c r="K203" s="1">
        <f>COUNTIF(Relatorio!$B$2:$B$4906,L203)</f>
        <v>0</v>
      </c>
      <c r="S203" s="5"/>
      <c r="U203" s="1">
        <f>COUNTIF(Relatorio!C99:C5098,V203)</f>
        <v>0</v>
      </c>
      <c r="AC203" s="5"/>
    </row>
    <row r="204" spans="11:29" x14ac:dyDescent="0.3">
      <c r="K204" s="1">
        <f>COUNTIF(Relatorio!$B$2:$B$4906,L204)</f>
        <v>0</v>
      </c>
      <c r="S204" s="5"/>
      <c r="U204" s="1">
        <f>COUNTIF(Relatorio!C100:C5099,V204)</f>
        <v>0</v>
      </c>
      <c r="AC204" s="5"/>
    </row>
    <row r="205" spans="11:29" x14ac:dyDescent="0.3">
      <c r="K205" s="1">
        <f>COUNTIF(Relatorio!$B$2:$B$4906,L205)</f>
        <v>0</v>
      </c>
      <c r="S205" s="5"/>
      <c r="U205" s="1">
        <f>COUNTIF(Relatorio!C101:C5100,V205)</f>
        <v>0</v>
      </c>
      <c r="AC205" s="5"/>
    </row>
    <row r="206" spans="11:29" x14ac:dyDescent="0.3">
      <c r="K206" s="1">
        <f>COUNTIF(Relatorio!$B$2:$B$4906,L206)</f>
        <v>0</v>
      </c>
      <c r="S206" s="5"/>
      <c r="U206" s="1">
        <f>COUNTIF(Relatorio!C102:C5101,V206)</f>
        <v>0</v>
      </c>
      <c r="AC206" s="5"/>
    </row>
    <row r="207" spans="11:29" x14ac:dyDescent="0.3">
      <c r="K207" s="1">
        <f>COUNTIF(Relatorio!$B$2:$B$4906,L207)</f>
        <v>0</v>
      </c>
      <c r="S207" s="5"/>
      <c r="U207" s="1">
        <f>COUNTIF(Relatorio!C103:C5102,V207)</f>
        <v>0</v>
      </c>
      <c r="AC207" s="5"/>
    </row>
    <row r="208" spans="11:29" x14ac:dyDescent="0.3">
      <c r="K208" s="1">
        <f>COUNTIF(Relatorio!$B$2:$B$4906,L208)</f>
        <v>0</v>
      </c>
      <c r="S208" s="5"/>
      <c r="U208" s="1">
        <f>COUNTIF(Relatorio!C104:C5103,V208)</f>
        <v>0</v>
      </c>
      <c r="AC208" s="5"/>
    </row>
    <row r="209" spans="11:29" x14ac:dyDescent="0.3">
      <c r="K209" s="1">
        <f>COUNTIF(Relatorio!$B$2:$B$4906,L209)</f>
        <v>0</v>
      </c>
      <c r="S209" s="5"/>
      <c r="U209" s="1">
        <f>COUNTIF(Relatorio!C105:C5104,V209)</f>
        <v>0</v>
      </c>
      <c r="AC209" s="5"/>
    </row>
    <row r="210" spans="11:29" x14ac:dyDescent="0.3">
      <c r="K210" s="1">
        <f>COUNTIF(Relatorio!$B$2:$B$4906,L210)</f>
        <v>0</v>
      </c>
      <c r="S210" s="5"/>
      <c r="U210" s="1">
        <f>COUNTIF(Relatorio!C106:C5105,V210)</f>
        <v>0</v>
      </c>
      <c r="AC210" s="5"/>
    </row>
    <row r="211" spans="11:29" x14ac:dyDescent="0.3">
      <c r="K211" s="1">
        <f>COUNTIF(Relatorio!$B$2:$B$4906,L211)</f>
        <v>0</v>
      </c>
      <c r="S211" s="5"/>
      <c r="U211" s="1">
        <f>COUNTIF(Relatorio!C107:C5106,V211)</f>
        <v>0</v>
      </c>
      <c r="AC211" s="5"/>
    </row>
    <row r="212" spans="11:29" x14ac:dyDescent="0.3">
      <c r="K212" s="1">
        <f>COUNTIF(Relatorio!$B$2:$B$4906,L212)</f>
        <v>0</v>
      </c>
      <c r="S212" s="5"/>
      <c r="U212" s="1">
        <f>COUNTIF(Relatorio!C108:C5107,V212)</f>
        <v>0</v>
      </c>
      <c r="AC212" s="5"/>
    </row>
    <row r="213" spans="11:29" x14ac:dyDescent="0.3">
      <c r="K213" s="1">
        <f>COUNTIF(Relatorio!$B$2:$B$4906,L213)</f>
        <v>0</v>
      </c>
      <c r="S213" s="5"/>
      <c r="U213" s="1">
        <f>COUNTIF(Relatorio!C109:C5108,V213)</f>
        <v>0</v>
      </c>
      <c r="AC213" s="5"/>
    </row>
    <row r="214" spans="11:29" x14ac:dyDescent="0.3">
      <c r="K214" s="1">
        <f>COUNTIF(Relatorio!$B$2:$B$4906,L214)</f>
        <v>0</v>
      </c>
      <c r="S214" s="5"/>
      <c r="U214" s="1">
        <f>COUNTIF(Relatorio!C110:C5109,V214)</f>
        <v>0</v>
      </c>
      <c r="AC214" s="5"/>
    </row>
    <row r="215" spans="11:29" x14ac:dyDescent="0.3">
      <c r="K215" s="1">
        <f>COUNTIF(Relatorio!$B$2:$B$4906,L215)</f>
        <v>0</v>
      </c>
      <c r="S215" s="5"/>
      <c r="U215" s="1">
        <f>COUNTIF(Relatorio!C111:C5110,V215)</f>
        <v>0</v>
      </c>
      <c r="AC215" s="5"/>
    </row>
    <row r="216" spans="11:29" x14ac:dyDescent="0.3">
      <c r="K216" s="1">
        <f>COUNTIF(Relatorio!$B$2:$B$4906,L216)</f>
        <v>0</v>
      </c>
      <c r="S216" s="5"/>
      <c r="U216" s="1">
        <f>COUNTIF(Relatorio!C112:C5111,V216)</f>
        <v>0</v>
      </c>
      <c r="AC216" s="5"/>
    </row>
    <row r="217" spans="11:29" x14ac:dyDescent="0.3">
      <c r="K217" s="1">
        <f>COUNTIF(Relatorio!$B$2:$B$4906,L217)</f>
        <v>0</v>
      </c>
      <c r="S217" s="5"/>
      <c r="U217" s="1">
        <f>COUNTIF(Relatorio!C113:C5112,V217)</f>
        <v>0</v>
      </c>
      <c r="AC217" s="5"/>
    </row>
    <row r="218" spans="11:29" x14ac:dyDescent="0.3">
      <c r="K218" s="1">
        <f>COUNTIF(Relatorio!$B$2:$B$4906,L218)</f>
        <v>0</v>
      </c>
      <c r="S218" s="5"/>
      <c r="U218" s="1">
        <f>COUNTIF(Relatorio!C114:C5113,V218)</f>
        <v>0</v>
      </c>
      <c r="AC218" s="5"/>
    </row>
    <row r="219" spans="11:29" x14ac:dyDescent="0.3">
      <c r="K219" s="1">
        <f>COUNTIF(Relatorio!$B$2:$B$4906,L219)</f>
        <v>0</v>
      </c>
      <c r="S219" s="5"/>
      <c r="U219" s="1">
        <f>COUNTIF(Relatorio!C115:C5114,V219)</f>
        <v>0</v>
      </c>
      <c r="AC219" s="5"/>
    </row>
    <row r="220" spans="11:29" x14ac:dyDescent="0.3">
      <c r="K220" s="1">
        <f>COUNTIF(Relatorio!$B$2:$B$4906,L220)</f>
        <v>0</v>
      </c>
      <c r="S220" s="5"/>
      <c r="U220" s="1">
        <f>COUNTIF(Relatorio!C116:C5115,V220)</f>
        <v>0</v>
      </c>
      <c r="AC220" s="5"/>
    </row>
    <row r="221" spans="11:29" x14ac:dyDescent="0.3">
      <c r="K221" s="1">
        <f>COUNTIF(Relatorio!$B$2:$B$4906,L221)</f>
        <v>0</v>
      </c>
      <c r="S221" s="5"/>
      <c r="U221" s="1">
        <f>COUNTIF(Relatorio!C117:C5116,V221)</f>
        <v>0</v>
      </c>
      <c r="AC221" s="5"/>
    </row>
    <row r="222" spans="11:29" x14ac:dyDescent="0.3">
      <c r="K222" s="1">
        <f>COUNTIF(Relatorio!$B$2:$B$4906,L222)</f>
        <v>0</v>
      </c>
      <c r="S222" s="5"/>
      <c r="U222" s="1">
        <f>COUNTIF(Relatorio!C118:C5117,V222)</f>
        <v>0</v>
      </c>
      <c r="AC222" s="5"/>
    </row>
    <row r="223" spans="11:29" x14ac:dyDescent="0.3">
      <c r="K223" s="1">
        <f>COUNTIF(Relatorio!$B$2:$B$4906,L223)</f>
        <v>0</v>
      </c>
      <c r="S223" s="5"/>
      <c r="U223" s="1">
        <f>COUNTIF(Relatorio!C119:C5118,V223)</f>
        <v>0</v>
      </c>
      <c r="AC223" s="5"/>
    </row>
    <row r="224" spans="11:29" x14ac:dyDescent="0.3">
      <c r="K224" s="1">
        <f>COUNTIF(Relatorio!$B$2:$B$4906,L224)</f>
        <v>0</v>
      </c>
      <c r="S224" s="5"/>
      <c r="U224" s="1">
        <f>COUNTIF(Relatorio!C120:C5119,V224)</f>
        <v>0</v>
      </c>
      <c r="AC224" s="5"/>
    </row>
    <row r="225" spans="11:29" x14ac:dyDescent="0.3">
      <c r="K225" s="1">
        <f>COUNTIF(Relatorio!$B$2:$B$4906,L225)</f>
        <v>0</v>
      </c>
      <c r="S225" s="5"/>
      <c r="U225" s="1">
        <f>COUNTIF(Relatorio!C121:C5120,V225)</f>
        <v>0</v>
      </c>
      <c r="AC225" s="5"/>
    </row>
    <row r="226" spans="11:29" x14ac:dyDescent="0.3">
      <c r="K226" s="1">
        <f>COUNTIF(Relatorio!$B$2:$B$4906,L226)</f>
        <v>0</v>
      </c>
      <c r="S226" s="5"/>
      <c r="U226" s="1">
        <f>COUNTIF(Relatorio!C122:C5121,V226)</f>
        <v>0</v>
      </c>
      <c r="AC226" s="5"/>
    </row>
    <row r="227" spans="11:29" x14ac:dyDescent="0.3">
      <c r="K227" s="1">
        <f>COUNTIF(Relatorio!$B$2:$B$4906,L227)</f>
        <v>0</v>
      </c>
      <c r="S227" s="5"/>
      <c r="U227" s="1">
        <f>COUNTIF(Relatorio!C123:C5122,V227)</f>
        <v>0</v>
      </c>
      <c r="AC227" s="5"/>
    </row>
    <row r="228" spans="11:29" x14ac:dyDescent="0.3">
      <c r="K228" s="1">
        <f>COUNTIF(Relatorio!$B$2:$B$4906,L228)</f>
        <v>0</v>
      </c>
      <c r="S228" s="5"/>
      <c r="U228" s="1">
        <f>COUNTIF(Relatorio!C124:C5123,V228)</f>
        <v>0</v>
      </c>
      <c r="AC228" s="5"/>
    </row>
    <row r="229" spans="11:29" x14ac:dyDescent="0.3">
      <c r="K229" s="1">
        <f>COUNTIF(Relatorio!$B$2:$B$4906,L229)</f>
        <v>0</v>
      </c>
      <c r="S229" s="5"/>
      <c r="U229" s="1">
        <f>COUNTIF(Relatorio!C125:C5124,V229)</f>
        <v>0</v>
      </c>
      <c r="AC229" s="5"/>
    </row>
    <row r="230" spans="11:29" x14ac:dyDescent="0.3">
      <c r="K230" s="1">
        <f>COUNTIF(Relatorio!$B$2:$B$4906,L230)</f>
        <v>0</v>
      </c>
      <c r="S230" s="5"/>
      <c r="U230" s="1">
        <f>COUNTIF(Relatorio!C126:C5125,V230)</f>
        <v>0</v>
      </c>
      <c r="AC230" s="5"/>
    </row>
    <row r="231" spans="11:29" x14ac:dyDescent="0.3">
      <c r="K231" s="1">
        <f>COUNTIF(Relatorio!$B$2:$B$4906,L231)</f>
        <v>0</v>
      </c>
      <c r="S231" s="5"/>
      <c r="U231" s="1">
        <f>COUNTIF(Relatorio!C127:C5126,V231)</f>
        <v>0</v>
      </c>
      <c r="AC231" s="5"/>
    </row>
    <row r="232" spans="11:29" x14ac:dyDescent="0.3">
      <c r="K232" s="1">
        <f>COUNTIF(Relatorio!$B$2:$B$4906,L232)</f>
        <v>0</v>
      </c>
      <c r="S232" s="5"/>
      <c r="U232" s="1">
        <f>COUNTIF(Relatorio!C128:C5127,V232)</f>
        <v>0</v>
      </c>
      <c r="AC232" s="5"/>
    </row>
    <row r="233" spans="11:29" x14ac:dyDescent="0.3">
      <c r="K233" s="1">
        <f>COUNTIF(Relatorio!$B$2:$B$4906,L233)</f>
        <v>0</v>
      </c>
      <c r="S233" s="5"/>
      <c r="U233" s="1">
        <f>COUNTIF(Relatorio!C129:C5128,V233)</f>
        <v>0</v>
      </c>
      <c r="AC233" s="5"/>
    </row>
    <row r="234" spans="11:29" x14ac:dyDescent="0.3">
      <c r="K234" s="1">
        <f>COUNTIF(Relatorio!$B$2:$B$4906,L234)</f>
        <v>0</v>
      </c>
      <c r="S234" s="5"/>
      <c r="U234" s="1">
        <f>COUNTIF(Relatorio!C130:C5129,V234)</f>
        <v>0</v>
      </c>
      <c r="AC234" s="5"/>
    </row>
    <row r="235" spans="11:29" x14ac:dyDescent="0.3">
      <c r="K235" s="1">
        <f>COUNTIF(Relatorio!$B$2:$B$4906,L235)</f>
        <v>0</v>
      </c>
      <c r="S235" s="5"/>
      <c r="U235" s="1">
        <f>COUNTIF(Relatorio!C131:C5130,V235)</f>
        <v>0</v>
      </c>
      <c r="AC235" s="5"/>
    </row>
    <row r="236" spans="11:29" x14ac:dyDescent="0.3">
      <c r="K236" s="1">
        <f>COUNTIF(Relatorio!$B$2:$B$4906,L236)</f>
        <v>0</v>
      </c>
      <c r="S236" s="5"/>
      <c r="U236" s="1">
        <f>COUNTIF(Relatorio!C132:C5131,V236)</f>
        <v>0</v>
      </c>
      <c r="AC236" s="5"/>
    </row>
    <row r="237" spans="11:29" x14ac:dyDescent="0.3">
      <c r="K237" s="1">
        <f>COUNTIF(Relatorio!$B$2:$B$4906,L237)</f>
        <v>0</v>
      </c>
      <c r="S237" s="5"/>
      <c r="U237" s="1">
        <f>COUNTIF(Relatorio!C133:C5132,V237)</f>
        <v>0</v>
      </c>
      <c r="AC237" s="5"/>
    </row>
    <row r="238" spans="11:29" x14ac:dyDescent="0.3">
      <c r="K238" s="1">
        <f>COUNTIF(Relatorio!$B$2:$B$4906,L238)</f>
        <v>0</v>
      </c>
      <c r="S238" s="5"/>
      <c r="U238" s="1">
        <f>COUNTIF(Relatorio!C134:C5133,V238)</f>
        <v>0</v>
      </c>
      <c r="AC238" s="5"/>
    </row>
    <row r="239" spans="11:29" x14ac:dyDescent="0.3">
      <c r="K239" s="1">
        <f>COUNTIF(Relatorio!$B$2:$B$4906,L239)</f>
        <v>0</v>
      </c>
      <c r="S239" s="5"/>
      <c r="U239" s="1">
        <f>COUNTIF(Relatorio!C135:C5134,V239)</f>
        <v>0</v>
      </c>
      <c r="AC239" s="5"/>
    </row>
    <row r="240" spans="11:29" x14ac:dyDescent="0.3">
      <c r="K240" s="1">
        <f>COUNTIF(Relatorio!$B$2:$B$4906,L240)</f>
        <v>0</v>
      </c>
      <c r="S240" s="5"/>
      <c r="U240" s="1">
        <f>COUNTIF(Relatorio!C136:C5135,V240)</f>
        <v>0</v>
      </c>
      <c r="AC240" s="5"/>
    </row>
    <row r="241" spans="11:29" x14ac:dyDescent="0.3">
      <c r="K241" s="1">
        <f>COUNTIF(Relatorio!$B$2:$B$4906,L241)</f>
        <v>0</v>
      </c>
      <c r="S241" s="5"/>
      <c r="U241" s="1">
        <f>COUNTIF(Relatorio!C137:C5136,V241)</f>
        <v>0</v>
      </c>
      <c r="AC241" s="5"/>
    </row>
    <row r="242" spans="11:29" x14ac:dyDescent="0.3">
      <c r="K242" s="1">
        <f>COUNTIF(Relatorio!$B$2:$B$4906,L242)</f>
        <v>0</v>
      </c>
      <c r="S242" s="5"/>
      <c r="U242" s="1">
        <f>COUNTIF(Relatorio!C138:C5137,V242)</f>
        <v>0</v>
      </c>
      <c r="AC242" s="5"/>
    </row>
    <row r="243" spans="11:29" x14ac:dyDescent="0.3">
      <c r="K243" s="1">
        <f>COUNTIF(Relatorio!$B$2:$B$4906,L243)</f>
        <v>0</v>
      </c>
      <c r="S243" s="5"/>
      <c r="U243" s="1">
        <f>COUNTIF(Relatorio!C139:C5138,V243)</f>
        <v>0</v>
      </c>
      <c r="AC243" s="5"/>
    </row>
    <row r="244" spans="11:29" x14ac:dyDescent="0.3">
      <c r="K244" s="1">
        <f>COUNTIF(Relatorio!$B$2:$B$4906,L244)</f>
        <v>0</v>
      </c>
      <c r="S244" s="5"/>
      <c r="U244" s="1">
        <f>COUNTIF(Relatorio!C140:C5139,V244)</f>
        <v>0</v>
      </c>
      <c r="AC244" s="5"/>
    </row>
    <row r="245" spans="11:29" x14ac:dyDescent="0.3">
      <c r="K245" s="1">
        <f>COUNTIF(Relatorio!$B$2:$B$4906,L245)</f>
        <v>0</v>
      </c>
      <c r="S245" s="5"/>
      <c r="U245" s="1">
        <f>COUNTIF(Relatorio!C141:C5140,V245)</f>
        <v>0</v>
      </c>
      <c r="AC245" s="5"/>
    </row>
    <row r="246" spans="11:29" x14ac:dyDescent="0.3">
      <c r="K246" s="1">
        <f>COUNTIF(Relatorio!$B$2:$B$4906,L246)</f>
        <v>0</v>
      </c>
      <c r="S246" s="5"/>
      <c r="U246" s="1">
        <f>COUNTIF(Relatorio!C142:C5141,V246)</f>
        <v>0</v>
      </c>
      <c r="AC246" s="5"/>
    </row>
    <row r="247" spans="11:29" x14ac:dyDescent="0.3">
      <c r="K247" s="1">
        <f>COUNTIF(Relatorio!$B$2:$B$4906,L247)</f>
        <v>0</v>
      </c>
      <c r="S247" s="5"/>
      <c r="U247" s="1">
        <f>COUNTIF(Relatorio!C143:C5142,V247)</f>
        <v>0</v>
      </c>
      <c r="AC247" s="5"/>
    </row>
    <row r="248" spans="11:29" x14ac:dyDescent="0.3">
      <c r="K248" s="1">
        <f>COUNTIF(Relatorio!$B$2:$B$4906,L248)</f>
        <v>0</v>
      </c>
      <c r="S248" s="5"/>
      <c r="U248" s="1">
        <f>COUNTIF(Relatorio!C144:C5143,V248)</f>
        <v>0</v>
      </c>
      <c r="AC248" s="5"/>
    </row>
    <row r="249" spans="11:29" x14ac:dyDescent="0.3">
      <c r="K249" s="1">
        <f>COUNTIF(Relatorio!$B$2:$B$4906,L249)</f>
        <v>0</v>
      </c>
      <c r="S249" s="5"/>
      <c r="U249" s="1">
        <f>COUNTIF(Relatorio!C145:C5144,V249)</f>
        <v>0</v>
      </c>
      <c r="AC249" s="5"/>
    </row>
    <row r="250" spans="11:29" x14ac:dyDescent="0.3">
      <c r="K250" s="1">
        <f>COUNTIF(Relatorio!$B$2:$B$4906,L250)</f>
        <v>0</v>
      </c>
      <c r="S250" s="5"/>
      <c r="U250" s="1">
        <f>COUNTIF(Relatorio!C146:C5145,V250)</f>
        <v>0</v>
      </c>
      <c r="AC250" s="5"/>
    </row>
    <row r="251" spans="11:29" x14ac:dyDescent="0.3">
      <c r="K251" s="1">
        <f>COUNTIF(Relatorio!$B$2:$B$4906,L251)</f>
        <v>0</v>
      </c>
      <c r="S251" s="5"/>
      <c r="U251" s="1">
        <f>COUNTIF(Relatorio!C147:C5146,V251)</f>
        <v>0</v>
      </c>
      <c r="AC251" s="5"/>
    </row>
    <row r="252" spans="11:29" x14ac:dyDescent="0.3">
      <c r="K252" s="1">
        <f>COUNTIF(Relatorio!$B$2:$B$4906,L252)</f>
        <v>0</v>
      </c>
      <c r="S252" s="5"/>
      <c r="U252" s="1">
        <f>COUNTIF(Relatorio!C148:C5147,V252)</f>
        <v>0</v>
      </c>
      <c r="AC252" s="5"/>
    </row>
    <row r="253" spans="11:29" x14ac:dyDescent="0.3">
      <c r="K253" s="1">
        <f>COUNTIF(Relatorio!$B$2:$B$4906,L253)</f>
        <v>0</v>
      </c>
      <c r="S253" s="5"/>
      <c r="U253" s="1">
        <f>COUNTIF(Relatorio!C149:C5148,V253)</f>
        <v>0</v>
      </c>
      <c r="AC253" s="5"/>
    </row>
    <row r="254" spans="11:29" x14ac:dyDescent="0.3">
      <c r="K254" s="1">
        <f>COUNTIF(Relatorio!$B$2:$B$4906,L254)</f>
        <v>0</v>
      </c>
      <c r="S254" s="5"/>
      <c r="U254" s="1">
        <f>COUNTIF(Relatorio!C150:C5149,V254)</f>
        <v>0</v>
      </c>
      <c r="AC254" s="5"/>
    </row>
    <row r="255" spans="11:29" x14ac:dyDescent="0.3">
      <c r="K255" s="1">
        <f>COUNTIF(Relatorio!$B$2:$B$4906,L255)</f>
        <v>0</v>
      </c>
      <c r="S255" s="5"/>
      <c r="U255" s="1">
        <f>COUNTIF(Relatorio!C151:C5150,V255)</f>
        <v>0</v>
      </c>
      <c r="AC255" s="5"/>
    </row>
    <row r="256" spans="11:29" x14ac:dyDescent="0.3">
      <c r="K256" s="1">
        <f>COUNTIF(Relatorio!$B$2:$B$4906,L256)</f>
        <v>0</v>
      </c>
      <c r="S256" s="5"/>
      <c r="U256" s="1">
        <f>COUNTIF(Relatorio!C152:C5151,V256)</f>
        <v>0</v>
      </c>
      <c r="AC256" s="5"/>
    </row>
    <row r="257" spans="11:29" x14ac:dyDescent="0.3">
      <c r="K257" s="1">
        <f>COUNTIF(Relatorio!$B$2:$B$4906,L257)</f>
        <v>0</v>
      </c>
      <c r="S257" s="5"/>
      <c r="U257" s="1">
        <f>COUNTIF(Relatorio!C153:C5152,V257)</f>
        <v>0</v>
      </c>
      <c r="AC257" s="5"/>
    </row>
    <row r="258" spans="11:29" x14ac:dyDescent="0.3">
      <c r="K258" s="1">
        <f>COUNTIF(Relatorio!$B$2:$B$4906,L258)</f>
        <v>0</v>
      </c>
      <c r="S258" s="5"/>
      <c r="U258" s="1">
        <f>COUNTIF(Relatorio!C154:C5153,V258)</f>
        <v>0</v>
      </c>
      <c r="AC258" s="5"/>
    </row>
    <row r="259" spans="11:29" x14ac:dyDescent="0.3">
      <c r="K259" s="1">
        <f>COUNTIF(Relatorio!$B$2:$B$4906,L259)</f>
        <v>0</v>
      </c>
      <c r="S259" s="5"/>
      <c r="U259" s="1">
        <f>COUNTIF(Relatorio!C155:C5154,V259)</f>
        <v>0</v>
      </c>
      <c r="AC259" s="5"/>
    </row>
    <row r="260" spans="11:29" x14ac:dyDescent="0.3">
      <c r="K260" s="1">
        <f>COUNTIF(Relatorio!$B$2:$B$4906,L260)</f>
        <v>0</v>
      </c>
      <c r="S260" s="5"/>
      <c r="U260" s="1">
        <f>COUNTIF(Relatorio!C156:C5155,V260)</f>
        <v>0</v>
      </c>
      <c r="AC260" s="5"/>
    </row>
    <row r="261" spans="11:29" x14ac:dyDescent="0.3">
      <c r="K261" s="1">
        <f>COUNTIF(Relatorio!$B$2:$B$4906,L261)</f>
        <v>0</v>
      </c>
      <c r="S261" s="5"/>
      <c r="U261" s="1">
        <f>COUNTIF(Relatorio!C157:C5156,V261)</f>
        <v>0</v>
      </c>
      <c r="AC261" s="5"/>
    </row>
    <row r="262" spans="11:29" x14ac:dyDescent="0.3">
      <c r="K262" s="1">
        <f>COUNTIF(Relatorio!$B$2:$B$4906,L262)</f>
        <v>0</v>
      </c>
      <c r="S262" s="5"/>
      <c r="U262" s="1">
        <f>COUNTIF(Relatorio!C158:C5157,V262)</f>
        <v>0</v>
      </c>
      <c r="AC262" s="5"/>
    </row>
    <row r="263" spans="11:29" x14ac:dyDescent="0.3">
      <c r="K263" s="1">
        <f>COUNTIF(Relatorio!$B$2:$B$4906,L263)</f>
        <v>0</v>
      </c>
      <c r="S263" s="5"/>
      <c r="U263" s="1">
        <f>COUNTIF(Relatorio!C159:C5158,V263)</f>
        <v>0</v>
      </c>
      <c r="AC263" s="5"/>
    </row>
    <row r="264" spans="11:29" x14ac:dyDescent="0.3">
      <c r="K264" s="1">
        <f>COUNTIF(Relatorio!$B$2:$B$4906,L264)</f>
        <v>0</v>
      </c>
      <c r="S264" s="5"/>
      <c r="U264" s="1">
        <f>COUNTIF(Relatorio!C160:C5159,V264)</f>
        <v>0</v>
      </c>
      <c r="AC264" s="5"/>
    </row>
    <row r="265" spans="11:29" x14ac:dyDescent="0.3">
      <c r="K265" s="1">
        <f>COUNTIF(Relatorio!$B$2:$B$4906,L265)</f>
        <v>0</v>
      </c>
      <c r="S265" s="5"/>
      <c r="U265" s="1">
        <f>COUNTIF(Relatorio!C161:C5160,V265)</f>
        <v>0</v>
      </c>
      <c r="AC265" s="5"/>
    </row>
    <row r="266" spans="11:29" x14ac:dyDescent="0.3">
      <c r="K266" s="1">
        <f>COUNTIF(Relatorio!$B$2:$B$4906,L266)</f>
        <v>0</v>
      </c>
      <c r="S266" s="5"/>
      <c r="U266" s="1">
        <f>COUNTIF(Relatorio!C162:C5161,V266)</f>
        <v>0</v>
      </c>
      <c r="AC266" s="5"/>
    </row>
    <row r="267" spans="11:29" x14ac:dyDescent="0.3">
      <c r="K267" s="1">
        <f>COUNTIF(Relatorio!$B$2:$B$4906,L267)</f>
        <v>0</v>
      </c>
      <c r="S267" s="5"/>
      <c r="U267" s="1">
        <f>COUNTIF(Relatorio!C163:C5162,V267)</f>
        <v>0</v>
      </c>
      <c r="AC267" s="5"/>
    </row>
    <row r="268" spans="11:29" x14ac:dyDescent="0.3">
      <c r="K268" s="1">
        <f>COUNTIF(Relatorio!$B$2:$B$4906,L268)</f>
        <v>0</v>
      </c>
      <c r="S268" s="5"/>
      <c r="U268" s="1">
        <f>COUNTIF(Relatorio!C164:C5163,V268)</f>
        <v>0</v>
      </c>
      <c r="AC268" s="5"/>
    </row>
    <row r="269" spans="11:29" x14ac:dyDescent="0.3">
      <c r="K269" s="1">
        <f>COUNTIF(Relatorio!$B$2:$B$4906,L269)</f>
        <v>0</v>
      </c>
      <c r="S269" s="5"/>
      <c r="U269" s="1">
        <f>COUNTIF(Relatorio!C165:C5164,V269)</f>
        <v>0</v>
      </c>
      <c r="AC269" s="5"/>
    </row>
    <row r="270" spans="11:29" x14ac:dyDescent="0.3">
      <c r="K270" s="1">
        <f>COUNTIF(Relatorio!$B$2:$B$4906,L270)</f>
        <v>0</v>
      </c>
      <c r="S270" s="5"/>
      <c r="U270" s="1">
        <f>COUNTIF(Relatorio!C166:C5165,V270)</f>
        <v>0</v>
      </c>
      <c r="AC270" s="5"/>
    </row>
    <row r="271" spans="11:29" x14ac:dyDescent="0.3">
      <c r="K271" s="1">
        <f>COUNTIF(Relatorio!$B$2:$B$4906,L271)</f>
        <v>0</v>
      </c>
      <c r="S271" s="5"/>
      <c r="U271" s="1">
        <f>COUNTIF(Relatorio!C167:C5166,V271)</f>
        <v>0</v>
      </c>
      <c r="AC271" s="5"/>
    </row>
    <row r="272" spans="11:29" x14ac:dyDescent="0.3">
      <c r="K272" s="1">
        <f>COUNTIF(Relatorio!$B$2:$B$4906,L272)</f>
        <v>0</v>
      </c>
      <c r="S272" s="5"/>
      <c r="U272" s="1">
        <f>COUNTIF(Relatorio!C168:C5167,V272)</f>
        <v>0</v>
      </c>
      <c r="AC272" s="5"/>
    </row>
    <row r="273" spans="11:29" x14ac:dyDescent="0.3">
      <c r="K273" s="1">
        <f>COUNTIF(Relatorio!$B$2:$B$4906,L273)</f>
        <v>0</v>
      </c>
      <c r="S273" s="5"/>
      <c r="U273" s="1">
        <f>COUNTIF(Relatorio!C169:C5168,V273)</f>
        <v>0</v>
      </c>
      <c r="AC273" s="5"/>
    </row>
    <row r="274" spans="11:29" x14ac:dyDescent="0.3">
      <c r="K274" s="1">
        <f>COUNTIF(Relatorio!$B$2:$B$4906,L274)</f>
        <v>0</v>
      </c>
      <c r="S274" s="5"/>
      <c r="U274" s="1">
        <f>COUNTIF(Relatorio!C170:C5169,V274)</f>
        <v>0</v>
      </c>
      <c r="AC274" s="5"/>
    </row>
    <row r="275" spans="11:29" x14ac:dyDescent="0.3">
      <c r="K275" s="1">
        <f>COUNTIF(Relatorio!$B$2:$B$4906,L275)</f>
        <v>0</v>
      </c>
      <c r="S275" s="5"/>
      <c r="U275" s="1">
        <f>COUNTIF(Relatorio!C171:C5170,V275)</f>
        <v>0</v>
      </c>
      <c r="AC275" s="5"/>
    </row>
    <row r="276" spans="11:29" x14ac:dyDescent="0.3">
      <c r="K276" s="1">
        <f>COUNTIF(Relatorio!$B$2:$B$4906,L276)</f>
        <v>0</v>
      </c>
      <c r="S276" s="5"/>
      <c r="U276" s="1">
        <f>COUNTIF(Relatorio!C172:C5171,V276)</f>
        <v>0</v>
      </c>
      <c r="AC276" s="5"/>
    </row>
    <row r="277" spans="11:29" x14ac:dyDescent="0.3">
      <c r="K277" s="1">
        <f>COUNTIF(Relatorio!$B$2:$B$4906,L277)</f>
        <v>0</v>
      </c>
      <c r="S277" s="5"/>
      <c r="U277" s="1">
        <f>COUNTIF(Relatorio!C173:C5172,V277)</f>
        <v>0</v>
      </c>
      <c r="AC277" s="5"/>
    </row>
    <row r="278" spans="11:29" x14ac:dyDescent="0.3">
      <c r="K278" s="1">
        <f>COUNTIF(Relatorio!$B$2:$B$4906,L278)</f>
        <v>0</v>
      </c>
      <c r="S278" s="5"/>
      <c r="U278" s="1">
        <f>COUNTIF(Relatorio!C174:C5173,V278)</f>
        <v>0</v>
      </c>
      <c r="AC278" s="5"/>
    </row>
    <row r="279" spans="11:29" x14ac:dyDescent="0.3">
      <c r="K279" s="1">
        <f>COUNTIF(Relatorio!$B$2:$B$4906,L279)</f>
        <v>0</v>
      </c>
      <c r="S279" s="5"/>
      <c r="U279" s="1">
        <f>COUNTIF(Relatorio!C175:C5174,V279)</f>
        <v>0</v>
      </c>
      <c r="AC279" s="5"/>
    </row>
    <row r="280" spans="11:29" x14ac:dyDescent="0.3">
      <c r="K280" s="1">
        <f>COUNTIF(Relatorio!$B$2:$B$4906,L280)</f>
        <v>0</v>
      </c>
      <c r="S280" s="5"/>
      <c r="U280" s="1">
        <f>COUNTIF(Relatorio!C176:C5175,V280)</f>
        <v>0</v>
      </c>
      <c r="AC280" s="5"/>
    </row>
    <row r="281" spans="11:29" x14ac:dyDescent="0.3">
      <c r="K281" s="1">
        <f>COUNTIF(Relatorio!$B$2:$B$4906,L281)</f>
        <v>0</v>
      </c>
      <c r="S281" s="5"/>
      <c r="U281" s="1">
        <f>COUNTIF(Relatorio!C177:C5176,V281)</f>
        <v>0</v>
      </c>
      <c r="AC281" s="5"/>
    </row>
    <row r="282" spans="11:29" x14ac:dyDescent="0.3">
      <c r="K282" s="1">
        <f>COUNTIF(Relatorio!$B$2:$B$4906,L282)</f>
        <v>0</v>
      </c>
      <c r="S282" s="5"/>
      <c r="U282" s="1">
        <f>COUNTIF(Relatorio!C178:C5177,V282)</f>
        <v>0</v>
      </c>
      <c r="AC282" s="5"/>
    </row>
    <row r="283" spans="11:29" x14ac:dyDescent="0.3">
      <c r="K283" s="1">
        <f>COUNTIF(Relatorio!$B$2:$B$4906,L283)</f>
        <v>0</v>
      </c>
      <c r="S283" s="5"/>
      <c r="U283" s="1">
        <f>COUNTIF(Relatorio!C179:C5178,V283)</f>
        <v>0</v>
      </c>
      <c r="AC283" s="5"/>
    </row>
    <row r="284" spans="11:29" x14ac:dyDescent="0.3">
      <c r="K284" s="1">
        <f>COUNTIF(Relatorio!$B$2:$B$4906,L284)</f>
        <v>0</v>
      </c>
      <c r="S284" s="5"/>
      <c r="U284" s="1">
        <f>COUNTIF(Relatorio!C180:C5179,V284)</f>
        <v>0</v>
      </c>
      <c r="AC284" s="5"/>
    </row>
    <row r="285" spans="11:29" x14ac:dyDescent="0.3">
      <c r="K285" s="1">
        <f>COUNTIF(Relatorio!$B$2:$B$4906,L285)</f>
        <v>0</v>
      </c>
      <c r="S285" s="5"/>
      <c r="U285" s="1">
        <f>COUNTIF(Relatorio!C181:C5180,V285)</f>
        <v>0</v>
      </c>
      <c r="AC285" s="5"/>
    </row>
    <row r="286" spans="11:29" x14ac:dyDescent="0.3">
      <c r="K286" s="1">
        <f>COUNTIF(Relatorio!$B$2:$B$4906,L286)</f>
        <v>0</v>
      </c>
      <c r="S286" s="5"/>
      <c r="U286" s="1">
        <f>COUNTIF(Relatorio!C182:C5181,V286)</f>
        <v>0</v>
      </c>
      <c r="AC286" s="5"/>
    </row>
    <row r="287" spans="11:29" x14ac:dyDescent="0.3">
      <c r="K287" s="1">
        <f>COUNTIF(Relatorio!$B$2:$B$4906,L287)</f>
        <v>0</v>
      </c>
      <c r="S287" s="5"/>
      <c r="U287" s="1">
        <f>COUNTIF(Relatorio!C183:C5182,V287)</f>
        <v>0</v>
      </c>
      <c r="AC287" s="5"/>
    </row>
    <row r="288" spans="11:29" x14ac:dyDescent="0.3">
      <c r="K288" s="1">
        <f>COUNTIF(Relatorio!$B$2:$B$4906,L288)</f>
        <v>0</v>
      </c>
      <c r="S288" s="5"/>
      <c r="U288" s="1">
        <f>COUNTIF(Relatorio!C184:C5183,V288)</f>
        <v>0</v>
      </c>
      <c r="AC288" s="5"/>
    </row>
    <row r="289" spans="11:29" x14ac:dyDescent="0.3">
      <c r="K289" s="1">
        <f>COUNTIF(Relatorio!$B$2:$B$4906,L289)</f>
        <v>0</v>
      </c>
      <c r="S289" s="5"/>
      <c r="U289" s="1">
        <f>COUNTIF(Relatorio!C185:C5184,V289)</f>
        <v>0</v>
      </c>
      <c r="AC289" s="5"/>
    </row>
    <row r="290" spans="11:29" x14ac:dyDescent="0.3">
      <c r="K290" s="1">
        <f>COUNTIF(Relatorio!$B$2:$B$4906,L290)</f>
        <v>0</v>
      </c>
      <c r="S290" s="5"/>
      <c r="U290" s="1">
        <f>COUNTIF(Relatorio!C186:C5185,V290)</f>
        <v>0</v>
      </c>
      <c r="AC290" s="5"/>
    </row>
    <row r="291" spans="11:29" x14ac:dyDescent="0.3">
      <c r="K291" s="1">
        <f>COUNTIF(Relatorio!$B$2:$B$4906,L291)</f>
        <v>0</v>
      </c>
      <c r="S291" s="5"/>
      <c r="U291" s="1">
        <f>COUNTIF(Relatorio!C187:C5186,V291)</f>
        <v>0</v>
      </c>
      <c r="AC291" s="5"/>
    </row>
    <row r="292" spans="11:29" x14ac:dyDescent="0.3">
      <c r="K292" s="1">
        <f>COUNTIF(Relatorio!$B$2:$B$4906,L292)</f>
        <v>0</v>
      </c>
      <c r="S292" s="5"/>
      <c r="U292" s="1">
        <f>COUNTIF(Relatorio!C188:C5187,V292)</f>
        <v>0</v>
      </c>
      <c r="AC292" s="5"/>
    </row>
    <row r="293" spans="11:29" x14ac:dyDescent="0.3">
      <c r="K293" s="1">
        <f>COUNTIF(Relatorio!$B$2:$B$4906,L293)</f>
        <v>0</v>
      </c>
      <c r="S293" s="5"/>
      <c r="U293" s="1">
        <f>COUNTIF(Relatorio!C189:C5188,V293)</f>
        <v>0</v>
      </c>
      <c r="AC293" s="5"/>
    </row>
    <row r="294" spans="11:29" x14ac:dyDescent="0.3">
      <c r="K294" s="1">
        <f>COUNTIF(Relatorio!$B$2:$B$4906,L294)</f>
        <v>0</v>
      </c>
      <c r="S294" s="5"/>
      <c r="U294" s="1">
        <f>COUNTIF(Relatorio!C190:C5189,V294)</f>
        <v>0</v>
      </c>
      <c r="AC294" s="5"/>
    </row>
    <row r="295" spans="11:29" x14ac:dyDescent="0.3">
      <c r="K295" s="1">
        <f>COUNTIF(Relatorio!$B$2:$B$4906,L295)</f>
        <v>0</v>
      </c>
      <c r="S295" s="5"/>
      <c r="U295" s="1">
        <f>COUNTIF(Relatorio!C191:C5190,V295)</f>
        <v>0</v>
      </c>
      <c r="AC295" s="5"/>
    </row>
    <row r="296" spans="11:29" x14ac:dyDescent="0.3">
      <c r="K296" s="1">
        <f>COUNTIF(Relatorio!$B$2:$B$4906,L296)</f>
        <v>0</v>
      </c>
      <c r="S296" s="5"/>
      <c r="U296" s="1">
        <f>COUNTIF(Relatorio!C192:C5191,V296)</f>
        <v>0</v>
      </c>
      <c r="AC296" s="5"/>
    </row>
    <row r="297" spans="11:29" x14ac:dyDescent="0.3">
      <c r="K297" s="1">
        <f>COUNTIF(Relatorio!$B$2:$B$4906,L297)</f>
        <v>0</v>
      </c>
      <c r="S297" s="5"/>
      <c r="U297" s="1">
        <f>COUNTIF(Relatorio!C193:C5192,V297)</f>
        <v>0</v>
      </c>
      <c r="AC297" s="5"/>
    </row>
    <row r="298" spans="11:29" x14ac:dyDescent="0.3">
      <c r="K298" s="1">
        <f>COUNTIF(Relatorio!$B$2:$B$4906,L298)</f>
        <v>0</v>
      </c>
      <c r="S298" s="5"/>
      <c r="U298" s="1">
        <f>COUNTIF(Relatorio!C194:C5193,V298)</f>
        <v>0</v>
      </c>
      <c r="AC298" s="5"/>
    </row>
    <row r="299" spans="11:29" x14ac:dyDescent="0.3">
      <c r="K299" s="1">
        <f>COUNTIF(Relatorio!$B$2:$B$4906,L299)</f>
        <v>0</v>
      </c>
      <c r="S299" s="5"/>
      <c r="U299" s="1">
        <f>COUNTIF(Relatorio!C195:C5194,V299)</f>
        <v>0</v>
      </c>
      <c r="AC299" s="5"/>
    </row>
    <row r="300" spans="11:29" x14ac:dyDescent="0.3">
      <c r="K300" s="1">
        <f>COUNTIF(Relatorio!$B$2:$B$4906,L300)</f>
        <v>0</v>
      </c>
      <c r="S300" s="5"/>
      <c r="U300" s="1">
        <f>COUNTIF(Relatorio!C196:C5195,V300)</f>
        <v>0</v>
      </c>
      <c r="AC300" s="5"/>
    </row>
    <row r="301" spans="11:29" x14ac:dyDescent="0.3">
      <c r="K301" s="1">
        <f>COUNTIF(Relatorio!$B$2:$B$4906,L301)</f>
        <v>0</v>
      </c>
      <c r="S301" s="5"/>
      <c r="U301" s="1">
        <f>COUNTIF(Relatorio!C197:C5196,V301)</f>
        <v>0</v>
      </c>
      <c r="AC301" s="5"/>
    </row>
    <row r="302" spans="11:29" x14ac:dyDescent="0.3">
      <c r="K302" s="1">
        <f>COUNTIF(Relatorio!$B$2:$B$4906,L302)</f>
        <v>0</v>
      </c>
      <c r="S302" s="5"/>
      <c r="U302" s="1">
        <f>COUNTIF(Relatorio!C198:C5197,V302)</f>
        <v>0</v>
      </c>
      <c r="AC302" s="5"/>
    </row>
    <row r="303" spans="11:29" x14ac:dyDescent="0.3">
      <c r="K303" s="1">
        <f>COUNTIF(Relatorio!$B$2:$B$4906,L303)</f>
        <v>0</v>
      </c>
      <c r="S303" s="5"/>
      <c r="U303" s="1">
        <f>COUNTIF(Relatorio!C199:C5198,V303)</f>
        <v>0</v>
      </c>
      <c r="AC303" s="5"/>
    </row>
    <row r="304" spans="11:29" x14ac:dyDescent="0.3">
      <c r="K304" s="1">
        <f>COUNTIF(Relatorio!$B$2:$B$4906,L304)</f>
        <v>0</v>
      </c>
      <c r="S304" s="5"/>
      <c r="U304" s="1">
        <f>COUNTIF(Relatorio!C200:C5199,V304)</f>
        <v>0</v>
      </c>
      <c r="AC304" s="5"/>
    </row>
    <row r="305" spans="11:29" x14ac:dyDescent="0.3">
      <c r="K305" s="1">
        <f>COUNTIF(Relatorio!$B$2:$B$4906,L305)</f>
        <v>0</v>
      </c>
      <c r="S305" s="5"/>
      <c r="U305" s="1">
        <f>COUNTIF(Relatorio!C201:C5200,V305)</f>
        <v>0</v>
      </c>
      <c r="AC305" s="5"/>
    </row>
    <row r="306" spans="11:29" x14ac:dyDescent="0.3">
      <c r="K306" s="1">
        <f>COUNTIF(Relatorio!$B$2:$B$4906,L306)</f>
        <v>0</v>
      </c>
      <c r="S306" s="5"/>
      <c r="U306" s="1">
        <f>COUNTIF(Relatorio!C202:C5201,V306)</f>
        <v>0</v>
      </c>
      <c r="AC306" s="5"/>
    </row>
    <row r="307" spans="11:29" x14ac:dyDescent="0.3">
      <c r="K307" s="1">
        <f>COUNTIF(Relatorio!$B$2:$B$4906,L307)</f>
        <v>0</v>
      </c>
      <c r="S307" s="5"/>
      <c r="U307" s="1">
        <f>COUNTIF(Relatorio!C203:C5202,V307)</f>
        <v>0</v>
      </c>
      <c r="AC307" s="5"/>
    </row>
    <row r="308" spans="11:29" x14ac:dyDescent="0.3">
      <c r="K308" s="1">
        <f>COUNTIF(Relatorio!$B$2:$B$4906,L308)</f>
        <v>0</v>
      </c>
      <c r="S308" s="5"/>
      <c r="U308" s="1">
        <f>COUNTIF(Relatorio!C204:C5203,V308)</f>
        <v>0</v>
      </c>
      <c r="AC308" s="5"/>
    </row>
    <row r="309" spans="11:29" x14ac:dyDescent="0.3">
      <c r="K309" s="1">
        <f>COUNTIF(Relatorio!$B$2:$B$4906,L309)</f>
        <v>0</v>
      </c>
      <c r="S309" s="5"/>
      <c r="U309" s="1">
        <f>COUNTIF(Relatorio!C205:C5204,V309)</f>
        <v>0</v>
      </c>
      <c r="AC309" s="5"/>
    </row>
    <row r="310" spans="11:29" x14ac:dyDescent="0.3">
      <c r="K310" s="1">
        <f>COUNTIF(Relatorio!$B$2:$B$4906,L310)</f>
        <v>0</v>
      </c>
      <c r="S310" s="5"/>
      <c r="U310" s="1">
        <f>COUNTIF(Relatorio!C206:C5205,V310)</f>
        <v>0</v>
      </c>
      <c r="AC310" s="5"/>
    </row>
    <row r="311" spans="11:29" x14ac:dyDescent="0.3">
      <c r="K311" s="1">
        <f>COUNTIF(Relatorio!$B$2:$B$4906,L311)</f>
        <v>0</v>
      </c>
      <c r="S311" s="5"/>
      <c r="U311" s="1">
        <f>COUNTIF(Relatorio!C207:C5206,V311)</f>
        <v>0</v>
      </c>
      <c r="AC311" s="5"/>
    </row>
    <row r="312" spans="11:29" x14ac:dyDescent="0.3">
      <c r="K312" s="1">
        <f>COUNTIF(Relatorio!$B$2:$B$4906,L312)</f>
        <v>0</v>
      </c>
      <c r="S312" s="5"/>
      <c r="U312" s="1">
        <f>COUNTIF(Relatorio!C208:C5207,V312)</f>
        <v>0</v>
      </c>
      <c r="AC312" s="5"/>
    </row>
    <row r="313" spans="11:29" x14ac:dyDescent="0.3">
      <c r="K313" s="1">
        <f>COUNTIF(Relatorio!$B$2:$B$4906,L313)</f>
        <v>0</v>
      </c>
      <c r="S313" s="5"/>
      <c r="U313" s="1">
        <f>COUNTIF(Relatorio!C209:C5208,V313)</f>
        <v>0</v>
      </c>
      <c r="AC313" s="5"/>
    </row>
    <row r="314" spans="11:29" x14ac:dyDescent="0.3">
      <c r="K314" s="1">
        <f>COUNTIF(Relatorio!$B$2:$B$4906,L314)</f>
        <v>0</v>
      </c>
      <c r="S314" s="5"/>
      <c r="U314" s="1">
        <f>COUNTIF(Relatorio!C210:C5209,V314)</f>
        <v>0</v>
      </c>
      <c r="AC314" s="5"/>
    </row>
    <row r="315" spans="11:29" x14ac:dyDescent="0.3">
      <c r="K315" s="1">
        <f>COUNTIF(Relatorio!$B$2:$B$4906,L315)</f>
        <v>0</v>
      </c>
      <c r="S315" s="5"/>
      <c r="U315" s="1">
        <f>COUNTIF(Relatorio!C211:C5210,V315)</f>
        <v>0</v>
      </c>
      <c r="AC315" s="5"/>
    </row>
    <row r="316" spans="11:29" x14ac:dyDescent="0.3">
      <c r="K316" s="1">
        <f>COUNTIF(Relatorio!$B$2:$B$4906,L316)</f>
        <v>0</v>
      </c>
      <c r="S316" s="5"/>
      <c r="U316" s="1">
        <f>COUNTIF(Relatorio!C212:C5211,V316)</f>
        <v>0</v>
      </c>
      <c r="AC316" s="5"/>
    </row>
    <row r="317" spans="11:29" x14ac:dyDescent="0.3">
      <c r="K317" s="1">
        <f>COUNTIF(Relatorio!$B$2:$B$4906,L317)</f>
        <v>0</v>
      </c>
      <c r="S317" s="5"/>
      <c r="U317" s="1">
        <f>COUNTIF(Relatorio!C213:C5212,V317)</f>
        <v>0</v>
      </c>
      <c r="AC317" s="5"/>
    </row>
    <row r="318" spans="11:29" x14ac:dyDescent="0.3">
      <c r="K318" s="1">
        <f>COUNTIF(Relatorio!$B$2:$B$4906,L318)</f>
        <v>0</v>
      </c>
      <c r="S318" s="5"/>
      <c r="U318" s="1">
        <f>COUNTIF(Relatorio!C214:C5213,V318)</f>
        <v>0</v>
      </c>
      <c r="AC318" s="5"/>
    </row>
    <row r="319" spans="11:29" x14ac:dyDescent="0.3">
      <c r="K319" s="1">
        <f>COUNTIF(Relatorio!$B$2:$B$4906,L319)</f>
        <v>0</v>
      </c>
      <c r="S319" s="5"/>
      <c r="U319" s="1">
        <f>COUNTIF(Relatorio!C215:C5214,V319)</f>
        <v>0</v>
      </c>
      <c r="AC319" s="5"/>
    </row>
    <row r="320" spans="11:29" x14ac:dyDescent="0.3">
      <c r="K320" s="1">
        <f>COUNTIF(Relatorio!$B$2:$B$4906,L320)</f>
        <v>0</v>
      </c>
      <c r="S320" s="5"/>
      <c r="U320" s="1">
        <f>COUNTIF(Relatorio!C216:C5215,V320)</f>
        <v>0</v>
      </c>
      <c r="AC320" s="5"/>
    </row>
    <row r="321" spans="11:29" x14ac:dyDescent="0.3">
      <c r="K321" s="1">
        <f>COUNTIF(Relatorio!$B$2:$B$4906,L321)</f>
        <v>0</v>
      </c>
      <c r="S321" s="5"/>
      <c r="U321" s="1">
        <f>COUNTIF(Relatorio!C217:C5216,V321)</f>
        <v>0</v>
      </c>
      <c r="AC321" s="5"/>
    </row>
    <row r="322" spans="11:29" x14ac:dyDescent="0.3">
      <c r="K322" s="1">
        <f>COUNTIF(Relatorio!$B$2:$B$4906,L322)</f>
        <v>0</v>
      </c>
      <c r="S322" s="5"/>
      <c r="U322" s="1">
        <f>COUNTIF(Relatorio!C218:C5217,V322)</f>
        <v>0</v>
      </c>
      <c r="AC322" s="5"/>
    </row>
    <row r="323" spans="11:29" x14ac:dyDescent="0.3">
      <c r="K323" s="1">
        <f>COUNTIF(Relatorio!$B$2:$B$4906,L323)</f>
        <v>0</v>
      </c>
      <c r="S323" s="5"/>
      <c r="U323" s="1">
        <f>COUNTIF(Relatorio!C219:C5218,V323)</f>
        <v>0</v>
      </c>
      <c r="AC323" s="5"/>
    </row>
    <row r="324" spans="11:29" x14ac:dyDescent="0.3">
      <c r="K324" s="1">
        <f>COUNTIF(Relatorio!$B$2:$B$4906,L324)</f>
        <v>0</v>
      </c>
      <c r="S324" s="5"/>
      <c r="U324" s="1">
        <f>COUNTIF(Relatorio!C220:C5219,V324)</f>
        <v>0</v>
      </c>
      <c r="AC324" s="5"/>
    </row>
    <row r="325" spans="11:29" x14ac:dyDescent="0.3">
      <c r="K325" s="1">
        <f>COUNTIF(Relatorio!$B$2:$B$4906,L325)</f>
        <v>0</v>
      </c>
      <c r="S325" s="5"/>
      <c r="U325" s="1">
        <f>COUNTIF(Relatorio!C221:C5220,V325)</f>
        <v>0</v>
      </c>
      <c r="AC325" s="5"/>
    </row>
    <row r="326" spans="11:29" x14ac:dyDescent="0.3">
      <c r="K326" s="1">
        <f>COUNTIF(Relatorio!$B$2:$B$4906,L326)</f>
        <v>0</v>
      </c>
      <c r="S326" s="5"/>
      <c r="U326" s="1">
        <f>COUNTIF(Relatorio!C222:C5221,V326)</f>
        <v>0</v>
      </c>
      <c r="AC326" s="5"/>
    </row>
    <row r="327" spans="11:29" x14ac:dyDescent="0.3">
      <c r="K327" s="1">
        <f>COUNTIF(Relatorio!$B$2:$B$4906,L327)</f>
        <v>0</v>
      </c>
      <c r="S327" s="5"/>
      <c r="U327" s="1">
        <f>COUNTIF(Relatorio!C223:C5222,V327)</f>
        <v>0</v>
      </c>
      <c r="AC327" s="5"/>
    </row>
    <row r="328" spans="11:29" x14ac:dyDescent="0.3">
      <c r="K328" s="1">
        <f>COUNTIF(Relatorio!$B$2:$B$4906,L328)</f>
        <v>0</v>
      </c>
      <c r="S328" s="5"/>
      <c r="U328" s="1">
        <f>COUNTIF(Relatorio!C224:C5223,V328)</f>
        <v>0</v>
      </c>
      <c r="AC328" s="5"/>
    </row>
    <row r="329" spans="11:29" x14ac:dyDescent="0.3">
      <c r="K329" s="1">
        <f>COUNTIF(Relatorio!$B$2:$B$4906,L329)</f>
        <v>0</v>
      </c>
      <c r="S329" s="5"/>
      <c r="U329" s="1">
        <f>COUNTIF(Relatorio!C225:C5224,V329)</f>
        <v>0</v>
      </c>
      <c r="AC329" s="5"/>
    </row>
    <row r="330" spans="11:29" x14ac:dyDescent="0.3">
      <c r="K330" s="1">
        <f>COUNTIF(Relatorio!$B$2:$B$4906,L330)</f>
        <v>0</v>
      </c>
      <c r="S330" s="5"/>
      <c r="U330" s="1">
        <f>COUNTIF(Relatorio!C226:C5225,V330)</f>
        <v>0</v>
      </c>
      <c r="AC330" s="5"/>
    </row>
    <row r="331" spans="11:29" x14ac:dyDescent="0.3">
      <c r="K331" s="1">
        <f>COUNTIF(Relatorio!$B$2:$B$4906,L331)</f>
        <v>0</v>
      </c>
      <c r="S331" s="5"/>
      <c r="U331" s="1">
        <f>COUNTIF(Relatorio!C227:C5226,V331)</f>
        <v>0</v>
      </c>
      <c r="AC331" s="5"/>
    </row>
    <row r="332" spans="11:29" x14ac:dyDescent="0.3">
      <c r="K332" s="1">
        <f>COUNTIF(Relatorio!$B$2:$B$4906,L332)</f>
        <v>0</v>
      </c>
      <c r="S332" s="5"/>
      <c r="U332" s="1">
        <f>COUNTIF(Relatorio!C228:C5227,V332)</f>
        <v>0</v>
      </c>
      <c r="AC332" s="5"/>
    </row>
    <row r="333" spans="11:29" x14ac:dyDescent="0.3">
      <c r="K333" s="1">
        <f>COUNTIF(Relatorio!$B$2:$B$4906,L333)</f>
        <v>0</v>
      </c>
      <c r="S333" s="5"/>
      <c r="U333" s="1">
        <f>COUNTIF(Relatorio!C229:C5228,V333)</f>
        <v>0</v>
      </c>
      <c r="AC333" s="5"/>
    </row>
    <row r="334" spans="11:29" x14ac:dyDescent="0.3">
      <c r="K334" s="1">
        <f>COUNTIF(Relatorio!$B$2:$B$4906,L334)</f>
        <v>0</v>
      </c>
      <c r="S334" s="5"/>
      <c r="U334" s="1">
        <f>COUNTIF(Relatorio!C230:C5229,V334)</f>
        <v>0</v>
      </c>
      <c r="AC334" s="5"/>
    </row>
    <row r="335" spans="11:29" x14ac:dyDescent="0.3">
      <c r="K335" s="1">
        <f>COUNTIF(Relatorio!$B$2:$B$4906,L335)</f>
        <v>0</v>
      </c>
      <c r="S335" s="5"/>
      <c r="U335" s="1">
        <f>COUNTIF(Relatorio!C231:C5230,V335)</f>
        <v>0</v>
      </c>
      <c r="AC335" s="5"/>
    </row>
    <row r="336" spans="11:29" x14ac:dyDescent="0.3">
      <c r="K336" s="1">
        <f>COUNTIF(Relatorio!$B$2:$B$4906,L336)</f>
        <v>0</v>
      </c>
      <c r="S336" s="5"/>
      <c r="U336" s="1">
        <f>COUNTIF(Relatorio!C232:C5231,V336)</f>
        <v>0</v>
      </c>
      <c r="AC336" s="5"/>
    </row>
    <row r="337" spans="11:29" x14ac:dyDescent="0.3">
      <c r="K337" s="1">
        <f>COUNTIF(Relatorio!$B$2:$B$4906,L337)</f>
        <v>0</v>
      </c>
      <c r="S337" s="5"/>
      <c r="U337" s="1">
        <f>COUNTIF(Relatorio!C233:C5232,V337)</f>
        <v>0</v>
      </c>
      <c r="AC337" s="5"/>
    </row>
    <row r="338" spans="11:29" x14ac:dyDescent="0.3">
      <c r="K338" s="1">
        <f>COUNTIF(Relatorio!$B$2:$B$4906,L338)</f>
        <v>0</v>
      </c>
      <c r="S338" s="5"/>
      <c r="U338" s="1">
        <f>COUNTIF(Relatorio!C234:C5233,V338)</f>
        <v>0</v>
      </c>
      <c r="AC338" s="5"/>
    </row>
    <row r="339" spans="11:29" x14ac:dyDescent="0.3">
      <c r="K339" s="1">
        <f>COUNTIF(Relatorio!$B$2:$B$4906,L339)</f>
        <v>0</v>
      </c>
      <c r="S339" s="5"/>
      <c r="U339" s="1">
        <f>COUNTIF(Relatorio!C235:C5234,V339)</f>
        <v>0</v>
      </c>
      <c r="AC339" s="5"/>
    </row>
    <row r="340" spans="11:29" x14ac:dyDescent="0.3">
      <c r="K340" s="1">
        <f>COUNTIF(Relatorio!$B$2:$B$4906,L340)</f>
        <v>0</v>
      </c>
      <c r="S340" s="5"/>
      <c r="U340" s="1">
        <f>COUNTIF(Relatorio!C236:C5235,V340)</f>
        <v>0</v>
      </c>
      <c r="AC340" s="5"/>
    </row>
    <row r="341" spans="11:29" x14ac:dyDescent="0.3">
      <c r="K341" s="1">
        <f>COUNTIF(Relatorio!$B$2:$B$4906,L341)</f>
        <v>0</v>
      </c>
      <c r="S341" s="5"/>
      <c r="U341" s="1">
        <f>COUNTIF(Relatorio!C237:C5236,V341)</f>
        <v>0</v>
      </c>
      <c r="AC341" s="5"/>
    </row>
    <row r="342" spans="11:29" x14ac:dyDescent="0.3">
      <c r="K342" s="1">
        <f>COUNTIF(Relatorio!$B$2:$B$4906,L342)</f>
        <v>0</v>
      </c>
      <c r="S342" s="5"/>
      <c r="U342" s="1">
        <f>COUNTIF(Relatorio!C238:C5237,V342)</f>
        <v>0</v>
      </c>
      <c r="AC342" s="5"/>
    </row>
    <row r="343" spans="11:29" x14ac:dyDescent="0.3">
      <c r="K343" s="1">
        <f>COUNTIF(Relatorio!$B$2:$B$4906,L343)</f>
        <v>0</v>
      </c>
      <c r="S343" s="5"/>
      <c r="U343" s="1">
        <f>COUNTIF(Relatorio!C239:C5238,V343)</f>
        <v>0</v>
      </c>
      <c r="AC343" s="5"/>
    </row>
    <row r="344" spans="11:29" x14ac:dyDescent="0.3">
      <c r="K344" s="1">
        <f>COUNTIF(Relatorio!$B$2:$B$4906,L344)</f>
        <v>0</v>
      </c>
      <c r="S344" s="5"/>
      <c r="U344" s="1">
        <f>COUNTIF(Relatorio!C240:C5239,V344)</f>
        <v>0</v>
      </c>
      <c r="AC344" s="5"/>
    </row>
    <row r="345" spans="11:29" x14ac:dyDescent="0.3">
      <c r="K345" s="1">
        <f>COUNTIF(Relatorio!$B$2:$B$4906,L345)</f>
        <v>0</v>
      </c>
      <c r="S345" s="5"/>
      <c r="U345" s="1">
        <f>COUNTIF(Relatorio!C241:C5240,V345)</f>
        <v>0</v>
      </c>
      <c r="AC345" s="5"/>
    </row>
    <row r="346" spans="11:29" x14ac:dyDescent="0.3">
      <c r="K346" s="1">
        <f>COUNTIF(Relatorio!$B$2:$B$4906,L346)</f>
        <v>0</v>
      </c>
      <c r="S346" s="5"/>
      <c r="U346" s="1">
        <f>COUNTIF(Relatorio!C242:C5241,V346)</f>
        <v>0</v>
      </c>
      <c r="AC346" s="5"/>
    </row>
    <row r="347" spans="11:29" x14ac:dyDescent="0.3">
      <c r="K347" s="1">
        <f>COUNTIF(Relatorio!$B$2:$B$4906,L347)</f>
        <v>0</v>
      </c>
      <c r="S347" s="5"/>
      <c r="U347" s="1">
        <f>COUNTIF(Relatorio!C243:C5242,V347)</f>
        <v>0</v>
      </c>
      <c r="AC347" s="5"/>
    </row>
    <row r="348" spans="11:29" x14ac:dyDescent="0.3">
      <c r="K348" s="1">
        <f>COUNTIF(Relatorio!$B$2:$B$4906,L348)</f>
        <v>0</v>
      </c>
      <c r="S348" s="5"/>
      <c r="U348" s="1">
        <f>COUNTIF(Relatorio!C244:C5243,V348)</f>
        <v>0</v>
      </c>
      <c r="AC348" s="5"/>
    </row>
    <row r="349" spans="11:29" x14ac:dyDescent="0.3">
      <c r="K349" s="1">
        <f>COUNTIF(Relatorio!$B$2:$B$4906,L349)</f>
        <v>0</v>
      </c>
      <c r="S349" s="5"/>
      <c r="U349" s="1">
        <f>COUNTIF(Relatorio!C245:C5244,V349)</f>
        <v>0</v>
      </c>
      <c r="AC349" s="5"/>
    </row>
    <row r="350" spans="11:29" x14ac:dyDescent="0.3">
      <c r="K350" s="1">
        <f>COUNTIF(Relatorio!$B$2:$B$4906,L350)</f>
        <v>0</v>
      </c>
      <c r="S350" s="5"/>
      <c r="U350" s="1">
        <f>COUNTIF(Relatorio!C246:C5245,V350)</f>
        <v>0</v>
      </c>
      <c r="AC350" s="5"/>
    </row>
    <row r="351" spans="11:29" x14ac:dyDescent="0.3">
      <c r="K351" s="1">
        <f>COUNTIF(Relatorio!$B$2:$B$4906,L351)</f>
        <v>0</v>
      </c>
      <c r="S351" s="5"/>
      <c r="U351" s="1">
        <f>COUNTIF(Relatorio!C247:C5246,V351)</f>
        <v>0</v>
      </c>
      <c r="AC351" s="5"/>
    </row>
    <row r="352" spans="11:29" x14ac:dyDescent="0.3">
      <c r="K352" s="1">
        <f>COUNTIF(Relatorio!$B$2:$B$4906,L352)</f>
        <v>0</v>
      </c>
      <c r="S352" s="5"/>
      <c r="U352" s="1">
        <f>COUNTIF(Relatorio!C248:C5247,V352)</f>
        <v>0</v>
      </c>
      <c r="AC352" s="5"/>
    </row>
    <row r="353" spans="11:29" x14ac:dyDescent="0.3">
      <c r="K353" s="1">
        <f>COUNTIF(Relatorio!$B$2:$B$4906,L353)</f>
        <v>0</v>
      </c>
      <c r="S353" s="5"/>
      <c r="U353" s="1">
        <f>COUNTIF(Relatorio!C249:C5248,V353)</f>
        <v>0</v>
      </c>
      <c r="AC353" s="5"/>
    </row>
    <row r="354" spans="11:29" x14ac:dyDescent="0.3">
      <c r="K354" s="1">
        <f>COUNTIF(Relatorio!$B$2:$B$4906,L354)</f>
        <v>0</v>
      </c>
      <c r="S354" s="5"/>
      <c r="U354" s="1">
        <f>COUNTIF(Relatorio!C250:C5249,V354)</f>
        <v>0</v>
      </c>
      <c r="AC354" s="5"/>
    </row>
    <row r="355" spans="11:29" x14ac:dyDescent="0.3">
      <c r="K355" s="1">
        <f>COUNTIF(Relatorio!$B$2:$B$4906,L355)</f>
        <v>0</v>
      </c>
      <c r="S355" s="5"/>
      <c r="U355" s="1">
        <f>COUNTIF(Relatorio!C251:C5250,V355)</f>
        <v>0</v>
      </c>
      <c r="AC355" s="5"/>
    </row>
    <row r="356" spans="11:29" x14ac:dyDescent="0.3">
      <c r="K356" s="1">
        <f>COUNTIF(Relatorio!$B$2:$B$4906,L356)</f>
        <v>0</v>
      </c>
      <c r="S356" s="5"/>
      <c r="U356" s="1">
        <f>COUNTIF(Relatorio!C252:C5251,V356)</f>
        <v>0</v>
      </c>
      <c r="AC356" s="5"/>
    </row>
    <row r="357" spans="11:29" x14ac:dyDescent="0.3">
      <c r="K357" s="1">
        <f>COUNTIF(Relatorio!$B$2:$B$4906,L357)</f>
        <v>0</v>
      </c>
      <c r="S357" s="5"/>
      <c r="U357" s="1">
        <f>COUNTIF(Relatorio!C253:C5252,V357)</f>
        <v>0</v>
      </c>
      <c r="AC357" s="5"/>
    </row>
    <row r="358" spans="11:29" x14ac:dyDescent="0.3">
      <c r="K358" s="1">
        <f>COUNTIF(Relatorio!$B$2:$B$4906,L358)</f>
        <v>0</v>
      </c>
      <c r="S358" s="5"/>
      <c r="U358" s="1">
        <f>COUNTIF(Relatorio!C254:C5253,V358)</f>
        <v>0</v>
      </c>
      <c r="AC358" s="5"/>
    </row>
    <row r="359" spans="11:29" x14ac:dyDescent="0.3">
      <c r="K359" s="1">
        <f>COUNTIF(Relatorio!$B$2:$B$4906,L359)</f>
        <v>0</v>
      </c>
      <c r="S359" s="5"/>
      <c r="U359" s="1">
        <f>COUNTIF(Relatorio!C255:C5254,V359)</f>
        <v>0</v>
      </c>
      <c r="AC359" s="5"/>
    </row>
    <row r="360" spans="11:29" x14ac:dyDescent="0.3">
      <c r="K360" s="1">
        <f>COUNTIF(Relatorio!$B$2:$B$4906,L360)</f>
        <v>0</v>
      </c>
      <c r="S360" s="5"/>
      <c r="U360" s="1">
        <f>COUNTIF(Relatorio!C256:C5255,V360)</f>
        <v>0</v>
      </c>
      <c r="AC360" s="5"/>
    </row>
    <row r="361" spans="11:29" x14ac:dyDescent="0.3">
      <c r="K361" s="1">
        <f>COUNTIF(Relatorio!$B$2:$B$4906,L361)</f>
        <v>0</v>
      </c>
      <c r="S361" s="5"/>
      <c r="U361" s="1">
        <f>COUNTIF(Relatorio!C257:C5256,V361)</f>
        <v>0</v>
      </c>
      <c r="AC361" s="5"/>
    </row>
    <row r="362" spans="11:29" x14ac:dyDescent="0.3">
      <c r="K362" s="1">
        <f>COUNTIF(Relatorio!$B$2:$B$4906,L362)</f>
        <v>0</v>
      </c>
      <c r="S362" s="5"/>
      <c r="U362" s="1">
        <f>COUNTIF(Relatorio!C258:C5257,V362)</f>
        <v>0</v>
      </c>
      <c r="AC362" s="5"/>
    </row>
    <row r="363" spans="11:29" x14ac:dyDescent="0.3">
      <c r="K363" s="1">
        <f>COUNTIF(Relatorio!$B$2:$B$4906,L363)</f>
        <v>0</v>
      </c>
      <c r="S363" s="5"/>
      <c r="U363" s="1">
        <f>COUNTIF(Relatorio!C259:C5258,V363)</f>
        <v>0</v>
      </c>
      <c r="AC363" s="5"/>
    </row>
    <row r="364" spans="11:29" x14ac:dyDescent="0.3">
      <c r="K364" s="1">
        <f>COUNTIF(Relatorio!$B$2:$B$4906,L364)</f>
        <v>0</v>
      </c>
      <c r="S364" s="5"/>
      <c r="U364" s="1">
        <f>COUNTIF(Relatorio!C260:C5259,V364)</f>
        <v>0</v>
      </c>
      <c r="AC364" s="5"/>
    </row>
    <row r="365" spans="11:29" x14ac:dyDescent="0.3">
      <c r="K365" s="1">
        <f>COUNTIF(Relatorio!$B$2:$B$4906,L365)</f>
        <v>0</v>
      </c>
      <c r="S365" s="5"/>
      <c r="U365" s="1">
        <f>COUNTIF(Relatorio!C261:C5260,V365)</f>
        <v>0</v>
      </c>
      <c r="AC365" s="5"/>
    </row>
    <row r="366" spans="11:29" x14ac:dyDescent="0.3">
      <c r="K366" s="1">
        <f>COUNTIF(Relatorio!$B$2:$B$4906,L366)</f>
        <v>0</v>
      </c>
      <c r="S366" s="5"/>
      <c r="U366" s="1">
        <f>COUNTIF(Relatorio!C262:C5261,V366)</f>
        <v>0</v>
      </c>
      <c r="AC366" s="5"/>
    </row>
    <row r="367" spans="11:29" x14ac:dyDescent="0.3">
      <c r="K367" s="1">
        <f>COUNTIF(Relatorio!$B$2:$B$4906,L367)</f>
        <v>0</v>
      </c>
      <c r="S367" s="5"/>
      <c r="U367" s="1">
        <f>COUNTIF(Relatorio!C263:C5262,V367)</f>
        <v>0</v>
      </c>
      <c r="AC367" s="5"/>
    </row>
    <row r="368" spans="11:29" x14ac:dyDescent="0.3">
      <c r="K368" s="1">
        <f>COUNTIF(Relatorio!$B$2:$B$4906,L368)</f>
        <v>0</v>
      </c>
      <c r="S368" s="5"/>
      <c r="U368" s="1">
        <f>COUNTIF(Relatorio!C264:C5263,V368)</f>
        <v>0</v>
      </c>
      <c r="AC368" s="5"/>
    </row>
    <row r="369" spans="11:29" x14ac:dyDescent="0.3">
      <c r="K369" s="1">
        <f>COUNTIF(Relatorio!$B$2:$B$4906,L369)</f>
        <v>0</v>
      </c>
      <c r="S369" s="5"/>
      <c r="U369" s="1">
        <f>COUNTIF(Relatorio!C265:C5264,V369)</f>
        <v>0</v>
      </c>
      <c r="AC369" s="5"/>
    </row>
    <row r="370" spans="11:29" x14ac:dyDescent="0.3">
      <c r="K370" s="1">
        <f>COUNTIF(Relatorio!$B$2:$B$4906,L370)</f>
        <v>0</v>
      </c>
      <c r="S370" s="5"/>
      <c r="U370" s="1">
        <f>COUNTIF(Relatorio!C266:C5265,V370)</f>
        <v>0</v>
      </c>
      <c r="AC370" s="5"/>
    </row>
    <row r="371" spans="11:29" x14ac:dyDescent="0.3">
      <c r="K371" s="1">
        <f>COUNTIF(Relatorio!$B$2:$B$4906,L371)</f>
        <v>0</v>
      </c>
      <c r="S371" s="5"/>
      <c r="U371" s="1">
        <f>COUNTIF(Relatorio!C267:C5266,V371)</f>
        <v>0</v>
      </c>
      <c r="AC371" s="5"/>
    </row>
    <row r="372" spans="11:29" x14ac:dyDescent="0.3">
      <c r="K372" s="1">
        <f>COUNTIF(Relatorio!$B$2:$B$4906,L372)</f>
        <v>0</v>
      </c>
      <c r="S372" s="5"/>
      <c r="U372" s="1">
        <f>COUNTIF(Relatorio!C268:C5267,V372)</f>
        <v>0</v>
      </c>
      <c r="AC372" s="5"/>
    </row>
    <row r="373" spans="11:29" x14ac:dyDescent="0.3">
      <c r="K373" s="1">
        <f>COUNTIF(Relatorio!$B$2:$B$4906,L373)</f>
        <v>0</v>
      </c>
      <c r="S373" s="5"/>
      <c r="U373" s="1">
        <f>COUNTIF(Relatorio!C269:C5268,V373)</f>
        <v>0</v>
      </c>
      <c r="AC373" s="5"/>
    </row>
    <row r="374" spans="11:29" x14ac:dyDescent="0.3">
      <c r="K374" s="1">
        <f>COUNTIF(Relatorio!$B$2:$B$4906,L374)</f>
        <v>0</v>
      </c>
      <c r="S374" s="5"/>
      <c r="U374" s="1">
        <f>COUNTIF(Relatorio!C270:C5269,V374)</f>
        <v>0</v>
      </c>
      <c r="AC374" s="5"/>
    </row>
    <row r="375" spans="11:29" x14ac:dyDescent="0.3">
      <c r="K375" s="1">
        <f>COUNTIF(Relatorio!$B$2:$B$4906,L375)</f>
        <v>0</v>
      </c>
      <c r="S375" s="5"/>
      <c r="U375" s="1">
        <f>COUNTIF(Relatorio!C271:C5270,V375)</f>
        <v>0</v>
      </c>
      <c r="AC375" s="5"/>
    </row>
    <row r="376" spans="11:29" x14ac:dyDescent="0.3">
      <c r="K376" s="1">
        <f>COUNTIF(Relatorio!$B$2:$B$4906,L376)</f>
        <v>0</v>
      </c>
      <c r="S376" s="5"/>
      <c r="U376" s="1">
        <f>COUNTIF(Relatorio!C272:C5271,V376)</f>
        <v>0</v>
      </c>
      <c r="AC376" s="5"/>
    </row>
    <row r="377" spans="11:29" x14ac:dyDescent="0.3">
      <c r="K377" s="1">
        <f>COUNTIF(Relatorio!$B$2:$B$4906,L377)</f>
        <v>0</v>
      </c>
      <c r="S377" s="5"/>
      <c r="U377" s="1">
        <f>COUNTIF(Relatorio!C273:C5272,V377)</f>
        <v>0</v>
      </c>
      <c r="AC377" s="5"/>
    </row>
    <row r="378" spans="11:29" x14ac:dyDescent="0.3">
      <c r="K378" s="1">
        <f>COUNTIF(Relatorio!$B$2:$B$4906,L378)</f>
        <v>0</v>
      </c>
      <c r="S378" s="5"/>
      <c r="U378" s="1">
        <f>COUNTIF(Relatorio!C274:C5273,V378)</f>
        <v>0</v>
      </c>
      <c r="AC378" s="5"/>
    </row>
    <row r="379" spans="11:29" x14ac:dyDescent="0.3">
      <c r="K379" s="1">
        <f>COUNTIF(Relatorio!$B$2:$B$4906,L379)</f>
        <v>0</v>
      </c>
      <c r="S379" s="5"/>
      <c r="U379" s="1">
        <f>COUNTIF(Relatorio!C275:C5274,V379)</f>
        <v>0</v>
      </c>
      <c r="AC379" s="5"/>
    </row>
    <row r="380" spans="11:29" x14ac:dyDescent="0.3">
      <c r="K380" s="1">
        <f>COUNTIF(Relatorio!$B$2:$B$4906,L380)</f>
        <v>0</v>
      </c>
      <c r="S380" s="5"/>
      <c r="U380" s="1">
        <f>COUNTIF(Relatorio!C276:C5275,V380)</f>
        <v>0</v>
      </c>
      <c r="AC380" s="5"/>
    </row>
    <row r="381" spans="11:29" x14ac:dyDescent="0.3">
      <c r="K381" s="1">
        <f>COUNTIF(Relatorio!$B$2:$B$4906,L381)</f>
        <v>0</v>
      </c>
      <c r="S381" s="5"/>
      <c r="U381" s="1">
        <f>COUNTIF(Relatorio!C277:C5276,V381)</f>
        <v>0</v>
      </c>
      <c r="AC381" s="5"/>
    </row>
    <row r="382" spans="11:29" x14ac:dyDescent="0.3">
      <c r="K382" s="1">
        <f>COUNTIF(Relatorio!$B$2:$B$4906,L382)</f>
        <v>0</v>
      </c>
      <c r="S382" s="5"/>
      <c r="U382" s="1">
        <f>COUNTIF(Relatorio!C278:C5277,V382)</f>
        <v>0</v>
      </c>
      <c r="AC382" s="5"/>
    </row>
    <row r="383" spans="11:29" x14ac:dyDescent="0.3">
      <c r="K383" s="1">
        <f>COUNTIF(Relatorio!$B$2:$B$4906,L383)</f>
        <v>0</v>
      </c>
      <c r="S383" s="5"/>
      <c r="U383" s="1">
        <f>COUNTIF(Relatorio!C279:C5278,V383)</f>
        <v>0</v>
      </c>
      <c r="AC383" s="5"/>
    </row>
    <row r="384" spans="11:29" x14ac:dyDescent="0.3">
      <c r="K384" s="1">
        <f>COUNTIF(Relatorio!$B$2:$B$4906,L384)</f>
        <v>0</v>
      </c>
      <c r="S384" s="5"/>
      <c r="U384" s="1">
        <f>COUNTIF(Relatorio!C280:C5279,V384)</f>
        <v>0</v>
      </c>
      <c r="AC384" s="5"/>
    </row>
    <row r="385" spans="11:29" x14ac:dyDescent="0.3">
      <c r="K385" s="1">
        <f>COUNTIF(Relatorio!$B$2:$B$4906,L385)</f>
        <v>0</v>
      </c>
      <c r="S385" s="5"/>
      <c r="U385" s="1">
        <f>COUNTIF(Relatorio!C281:C5280,V385)</f>
        <v>0</v>
      </c>
      <c r="AC385" s="5"/>
    </row>
    <row r="386" spans="11:29" x14ac:dyDescent="0.3">
      <c r="K386" s="1">
        <f>COUNTIF(Relatorio!$B$2:$B$4906,L386)</f>
        <v>0</v>
      </c>
      <c r="S386" s="5"/>
      <c r="U386" s="1">
        <f>COUNTIF(Relatorio!C282:C5281,V386)</f>
        <v>0</v>
      </c>
      <c r="AC386" s="5"/>
    </row>
    <row r="387" spans="11:29" x14ac:dyDescent="0.3">
      <c r="K387" s="1">
        <f>COUNTIF(Relatorio!$B$2:$B$4906,L387)</f>
        <v>0</v>
      </c>
      <c r="S387" s="5"/>
      <c r="U387" s="1">
        <f>COUNTIF(Relatorio!C283:C5282,V387)</f>
        <v>0</v>
      </c>
      <c r="AC387" s="5"/>
    </row>
    <row r="388" spans="11:29" x14ac:dyDescent="0.3">
      <c r="K388" s="1">
        <f>COUNTIF(Relatorio!$B$2:$B$4906,L388)</f>
        <v>0</v>
      </c>
      <c r="S388" s="5"/>
      <c r="U388" s="1">
        <f>COUNTIF(Relatorio!C284:C5283,V388)</f>
        <v>0</v>
      </c>
      <c r="AC388" s="5"/>
    </row>
    <row r="389" spans="11:29" x14ac:dyDescent="0.3">
      <c r="K389" s="1">
        <f>COUNTIF(Relatorio!$B$2:$B$4906,L389)</f>
        <v>0</v>
      </c>
      <c r="S389" s="5"/>
      <c r="U389" s="1">
        <f>COUNTIF(Relatorio!C285:C5284,V389)</f>
        <v>0</v>
      </c>
      <c r="AC389" s="5"/>
    </row>
    <row r="390" spans="11:29" x14ac:dyDescent="0.3">
      <c r="K390" s="1">
        <f>COUNTIF(Relatorio!$B$2:$B$4906,L390)</f>
        <v>0</v>
      </c>
      <c r="S390" s="5"/>
      <c r="U390" s="1">
        <f>COUNTIF(Relatorio!C286:C5285,V390)</f>
        <v>0</v>
      </c>
      <c r="AC390" s="5"/>
    </row>
    <row r="391" spans="11:29" x14ac:dyDescent="0.3">
      <c r="K391" s="1">
        <f>COUNTIF(Relatorio!$B$2:$B$4906,L391)</f>
        <v>0</v>
      </c>
      <c r="S391" s="5"/>
      <c r="U391" s="1">
        <f>COUNTIF(Relatorio!C287:C5286,V391)</f>
        <v>0</v>
      </c>
      <c r="AC391" s="5"/>
    </row>
    <row r="392" spans="11:29" x14ac:dyDescent="0.3">
      <c r="K392" s="1">
        <f>COUNTIF(Relatorio!$B$2:$B$4906,L392)</f>
        <v>0</v>
      </c>
      <c r="S392" s="5"/>
      <c r="U392" s="1">
        <f>COUNTIF(Relatorio!C288:C5287,V392)</f>
        <v>0</v>
      </c>
      <c r="AC392" s="5"/>
    </row>
    <row r="393" spans="11:29" x14ac:dyDescent="0.3">
      <c r="K393" s="1">
        <f>COUNTIF(Relatorio!$B$2:$B$4906,L393)</f>
        <v>0</v>
      </c>
      <c r="S393" s="5"/>
      <c r="U393" s="1">
        <f>COUNTIF(Relatorio!C289:C5288,V393)</f>
        <v>0</v>
      </c>
      <c r="AC393" s="5"/>
    </row>
    <row r="394" spans="11:29" x14ac:dyDescent="0.3">
      <c r="K394" s="1">
        <f>COUNTIF(Relatorio!$B$2:$B$4906,L394)</f>
        <v>0</v>
      </c>
      <c r="S394" s="5"/>
      <c r="U394" s="1">
        <f>COUNTIF(Relatorio!C290:C5289,V394)</f>
        <v>0</v>
      </c>
      <c r="AC394" s="5"/>
    </row>
    <row r="395" spans="11:29" x14ac:dyDescent="0.3">
      <c r="K395" s="1">
        <f>COUNTIF(Relatorio!$B$2:$B$4906,L395)</f>
        <v>0</v>
      </c>
      <c r="S395" s="5"/>
      <c r="U395" s="1">
        <f>COUNTIF(Relatorio!C291:C5290,V395)</f>
        <v>0</v>
      </c>
      <c r="AC395" s="5"/>
    </row>
    <row r="396" spans="11:29" x14ac:dyDescent="0.3">
      <c r="K396" s="1">
        <f>COUNTIF(Relatorio!$B$2:$B$4906,L396)</f>
        <v>0</v>
      </c>
      <c r="S396" s="5"/>
      <c r="U396" s="1">
        <f>COUNTIF(Relatorio!C292:C5291,V396)</f>
        <v>0</v>
      </c>
      <c r="AC396" s="5"/>
    </row>
    <row r="397" spans="11:29" x14ac:dyDescent="0.3">
      <c r="K397" s="1">
        <f>COUNTIF(Relatorio!$B$2:$B$4906,L397)</f>
        <v>0</v>
      </c>
      <c r="S397" s="5"/>
      <c r="U397" s="1">
        <f>COUNTIF(Relatorio!C293:C5292,V397)</f>
        <v>0</v>
      </c>
      <c r="AC397" s="5"/>
    </row>
    <row r="398" spans="11:29" x14ac:dyDescent="0.3">
      <c r="K398" s="1">
        <f>COUNTIF(Relatorio!$B$2:$B$4906,L398)</f>
        <v>0</v>
      </c>
      <c r="S398" s="5"/>
      <c r="U398" s="1">
        <f>COUNTIF(Relatorio!C294:C5293,V398)</f>
        <v>0</v>
      </c>
      <c r="AC398" s="5"/>
    </row>
    <row r="399" spans="11:29" x14ac:dyDescent="0.3">
      <c r="K399" s="1">
        <f>COUNTIF(Relatorio!$B$2:$B$4906,L399)</f>
        <v>0</v>
      </c>
      <c r="S399" s="5"/>
      <c r="U399" s="1">
        <f>COUNTIF(Relatorio!C295:C5294,V399)</f>
        <v>0</v>
      </c>
      <c r="AC399" s="5"/>
    </row>
    <row r="400" spans="11:29" x14ac:dyDescent="0.3">
      <c r="K400" s="1">
        <f>COUNTIF(Relatorio!$B$2:$B$4906,L400)</f>
        <v>0</v>
      </c>
      <c r="S400" s="5"/>
      <c r="U400" s="1">
        <f>COUNTIF(Relatorio!C296:C5295,V400)</f>
        <v>0</v>
      </c>
      <c r="AC400" s="5"/>
    </row>
    <row r="401" spans="11:29" x14ac:dyDescent="0.3">
      <c r="K401" s="1">
        <f>COUNTIF(Relatorio!$B$2:$B$4906,L401)</f>
        <v>0</v>
      </c>
      <c r="S401" s="5"/>
      <c r="U401" s="1">
        <f>COUNTIF(Relatorio!C297:C5296,V401)</f>
        <v>0</v>
      </c>
      <c r="AC401" s="5"/>
    </row>
    <row r="402" spans="11:29" x14ac:dyDescent="0.3">
      <c r="K402" s="1">
        <f>COUNTIF(Relatorio!$B$2:$B$4906,L402)</f>
        <v>0</v>
      </c>
      <c r="S402" s="5"/>
      <c r="U402" s="1">
        <f>COUNTIF(Relatorio!C298:C5297,V402)</f>
        <v>0</v>
      </c>
      <c r="AC402" s="5"/>
    </row>
    <row r="403" spans="11:29" x14ac:dyDescent="0.3">
      <c r="K403" s="1">
        <f>COUNTIF(Relatorio!$B$2:$B$4906,L403)</f>
        <v>0</v>
      </c>
      <c r="S403" s="5"/>
      <c r="U403" s="1">
        <f>COUNTIF(Relatorio!C299:C5298,V403)</f>
        <v>0</v>
      </c>
      <c r="AC403" s="5"/>
    </row>
    <row r="404" spans="11:29" x14ac:dyDescent="0.3">
      <c r="K404" s="1">
        <f>COUNTIF(Relatorio!$B$2:$B$4906,L404)</f>
        <v>0</v>
      </c>
      <c r="S404" s="5"/>
      <c r="U404" s="1">
        <f>COUNTIF(Relatorio!C300:C5299,V404)</f>
        <v>0</v>
      </c>
      <c r="AC404" s="5"/>
    </row>
    <row r="405" spans="11:29" x14ac:dyDescent="0.3">
      <c r="K405" s="1">
        <f>COUNTIF(Relatorio!$B$2:$B$4906,L405)</f>
        <v>0</v>
      </c>
      <c r="S405" s="5"/>
      <c r="U405" s="1">
        <f>COUNTIF(Relatorio!C301:C5300,V405)</f>
        <v>0</v>
      </c>
      <c r="AC405" s="5"/>
    </row>
    <row r="406" spans="11:29" x14ac:dyDescent="0.3">
      <c r="K406" s="1">
        <f>COUNTIF(Relatorio!$B$2:$B$4906,L406)</f>
        <v>0</v>
      </c>
      <c r="S406" s="5"/>
      <c r="U406" s="1">
        <f>COUNTIF(Relatorio!C302:C5301,V406)</f>
        <v>0</v>
      </c>
      <c r="AC406" s="5"/>
    </row>
    <row r="407" spans="11:29" x14ac:dyDescent="0.3">
      <c r="K407" s="1">
        <f>COUNTIF(Relatorio!$B$2:$B$4906,L407)</f>
        <v>0</v>
      </c>
      <c r="S407" s="5"/>
      <c r="U407" s="1">
        <f>COUNTIF(Relatorio!C303:C5302,V407)</f>
        <v>0</v>
      </c>
      <c r="AC407" s="5"/>
    </row>
    <row r="408" spans="11:29" x14ac:dyDescent="0.3">
      <c r="K408" s="1">
        <f>COUNTIF(Relatorio!$B$2:$B$4906,L408)</f>
        <v>0</v>
      </c>
      <c r="S408" s="5"/>
      <c r="U408" s="1">
        <f>COUNTIF(Relatorio!C304:C5303,V408)</f>
        <v>0</v>
      </c>
      <c r="AC408" s="5"/>
    </row>
    <row r="409" spans="11:29" x14ac:dyDescent="0.3">
      <c r="K409" s="1">
        <f>COUNTIF(Relatorio!$B$2:$B$4906,L409)</f>
        <v>0</v>
      </c>
      <c r="S409" s="5"/>
      <c r="U409" s="1">
        <f>COUNTIF(Relatorio!C305:C5304,V409)</f>
        <v>0</v>
      </c>
      <c r="AC409" s="5"/>
    </row>
    <row r="410" spans="11:29" x14ac:dyDescent="0.3">
      <c r="K410" s="1">
        <f>COUNTIF(Relatorio!$B$2:$B$4906,L410)</f>
        <v>0</v>
      </c>
      <c r="S410" s="5"/>
      <c r="U410" s="1">
        <f>COUNTIF(Relatorio!C306:C5305,V410)</f>
        <v>0</v>
      </c>
      <c r="AC410" s="5"/>
    </row>
    <row r="411" spans="11:29" x14ac:dyDescent="0.3">
      <c r="K411" s="1">
        <f>COUNTIF(Relatorio!$B$2:$B$4906,L411)</f>
        <v>0</v>
      </c>
      <c r="S411" s="5"/>
      <c r="U411" s="1">
        <f>COUNTIF(Relatorio!C307:C5306,V411)</f>
        <v>0</v>
      </c>
      <c r="AC411" s="5"/>
    </row>
    <row r="412" spans="11:29" x14ac:dyDescent="0.3">
      <c r="K412" s="1">
        <f>COUNTIF(Relatorio!$B$2:$B$4906,L412)</f>
        <v>0</v>
      </c>
      <c r="S412" s="5"/>
      <c r="U412" s="1">
        <f>COUNTIF(Relatorio!C308:C5307,V412)</f>
        <v>0</v>
      </c>
      <c r="AC412" s="5"/>
    </row>
    <row r="413" spans="11:29" x14ac:dyDescent="0.3">
      <c r="K413" s="1">
        <f>COUNTIF(Relatorio!$B$2:$B$4906,L413)</f>
        <v>0</v>
      </c>
      <c r="S413" s="5"/>
      <c r="U413" s="1">
        <f>COUNTIF(Relatorio!C309:C5308,V413)</f>
        <v>0</v>
      </c>
      <c r="AC413" s="5"/>
    </row>
    <row r="414" spans="11:29" x14ac:dyDescent="0.3">
      <c r="K414" s="1">
        <f>COUNTIF(Relatorio!$B$2:$B$4906,L414)</f>
        <v>0</v>
      </c>
      <c r="S414" s="5"/>
      <c r="U414" s="1">
        <f>COUNTIF(Relatorio!C310:C5309,V414)</f>
        <v>0</v>
      </c>
      <c r="AC414" s="5"/>
    </row>
    <row r="415" spans="11:29" x14ac:dyDescent="0.3">
      <c r="K415" s="1">
        <f>COUNTIF(Relatorio!$B$2:$B$4906,L415)</f>
        <v>0</v>
      </c>
      <c r="S415" s="5"/>
      <c r="U415" s="1">
        <f>COUNTIF(Relatorio!C311:C5310,V415)</f>
        <v>0</v>
      </c>
      <c r="AC415" s="5"/>
    </row>
    <row r="416" spans="11:29" x14ac:dyDescent="0.3">
      <c r="K416" s="1">
        <f>COUNTIF(Relatorio!$B$2:$B$4906,L416)</f>
        <v>0</v>
      </c>
      <c r="S416" s="5"/>
      <c r="U416" s="1">
        <f>COUNTIF(Relatorio!C312:C5311,V416)</f>
        <v>0</v>
      </c>
      <c r="AC416" s="5"/>
    </row>
    <row r="417" spans="11:29" x14ac:dyDescent="0.3">
      <c r="K417" s="1">
        <f>COUNTIF(Relatorio!$B$2:$B$4906,L417)</f>
        <v>0</v>
      </c>
      <c r="S417" s="5"/>
      <c r="U417" s="1">
        <f>COUNTIF(Relatorio!C313:C5312,V417)</f>
        <v>0</v>
      </c>
      <c r="AC417" s="5"/>
    </row>
    <row r="418" spans="11:29" x14ac:dyDescent="0.3">
      <c r="K418" s="1">
        <f>COUNTIF(Relatorio!$B$2:$B$4906,L418)</f>
        <v>0</v>
      </c>
      <c r="S418" s="5"/>
      <c r="U418" s="1">
        <f>COUNTIF(Relatorio!C314:C5313,V418)</f>
        <v>0</v>
      </c>
      <c r="AC418" s="5"/>
    </row>
    <row r="419" spans="11:29" x14ac:dyDescent="0.3">
      <c r="K419" s="1">
        <f>COUNTIF(Relatorio!$B$2:$B$4906,L419)</f>
        <v>0</v>
      </c>
      <c r="S419" s="5"/>
      <c r="U419" s="1">
        <f>COUNTIF(Relatorio!C315:C5314,V419)</f>
        <v>0</v>
      </c>
      <c r="AC419" s="5"/>
    </row>
    <row r="420" spans="11:29" x14ac:dyDescent="0.3">
      <c r="K420" s="1">
        <f>COUNTIF(Relatorio!$B$2:$B$4906,L420)</f>
        <v>0</v>
      </c>
      <c r="S420" s="5"/>
      <c r="U420" s="1">
        <f>COUNTIF(Relatorio!C316:C5315,V420)</f>
        <v>0</v>
      </c>
      <c r="AC420" s="5"/>
    </row>
    <row r="421" spans="11:29" x14ac:dyDescent="0.3">
      <c r="K421" s="1">
        <f>COUNTIF(Relatorio!$B$2:$B$4906,L421)</f>
        <v>0</v>
      </c>
      <c r="S421" s="5"/>
      <c r="U421" s="1">
        <f>COUNTIF(Relatorio!C317:C5316,V421)</f>
        <v>0</v>
      </c>
      <c r="AC421" s="5"/>
    </row>
    <row r="422" spans="11:29" x14ac:dyDescent="0.3">
      <c r="K422" s="1">
        <f>COUNTIF(Relatorio!$B$2:$B$4906,L422)</f>
        <v>0</v>
      </c>
      <c r="S422" s="5"/>
      <c r="U422" s="1">
        <f>COUNTIF(Relatorio!C318:C5317,V422)</f>
        <v>0</v>
      </c>
      <c r="AC422" s="5"/>
    </row>
    <row r="423" spans="11:29" x14ac:dyDescent="0.3">
      <c r="K423" s="1">
        <f>COUNTIF(Relatorio!$B$2:$B$4906,L423)</f>
        <v>0</v>
      </c>
      <c r="S423" s="5"/>
      <c r="U423" s="1">
        <f>COUNTIF(Relatorio!C319:C5318,V423)</f>
        <v>0</v>
      </c>
      <c r="AC423" s="5"/>
    </row>
    <row r="424" spans="11:29" x14ac:dyDescent="0.3">
      <c r="K424" s="1">
        <f>COUNTIF(Relatorio!$B$2:$B$4906,L424)</f>
        <v>0</v>
      </c>
      <c r="S424" s="5"/>
      <c r="U424" s="1">
        <f>COUNTIF(Relatorio!C320:C5319,V424)</f>
        <v>0</v>
      </c>
      <c r="AC424" s="5"/>
    </row>
    <row r="425" spans="11:29" x14ac:dyDescent="0.3">
      <c r="K425" s="1">
        <f>COUNTIF(Relatorio!$B$2:$B$4906,L425)</f>
        <v>0</v>
      </c>
      <c r="S425" s="5"/>
      <c r="U425" s="1">
        <f>COUNTIF(Relatorio!C321:C5320,V425)</f>
        <v>0</v>
      </c>
      <c r="AC425" s="5"/>
    </row>
    <row r="426" spans="11:29" x14ac:dyDescent="0.3">
      <c r="K426" s="1">
        <f>COUNTIF(Relatorio!$B$2:$B$4906,L426)</f>
        <v>0</v>
      </c>
      <c r="S426" s="5"/>
      <c r="U426" s="1">
        <f>COUNTIF(Relatorio!C322:C5321,V426)</f>
        <v>0</v>
      </c>
      <c r="AC426" s="5"/>
    </row>
    <row r="427" spans="11:29" x14ac:dyDescent="0.3">
      <c r="K427" s="1">
        <f>COUNTIF(Relatorio!$B$2:$B$4906,L427)</f>
        <v>0</v>
      </c>
      <c r="S427" s="5"/>
      <c r="U427" s="1">
        <f>COUNTIF(Relatorio!C323:C5322,V427)</f>
        <v>0</v>
      </c>
      <c r="AC427" s="5"/>
    </row>
    <row r="428" spans="11:29" x14ac:dyDescent="0.3">
      <c r="K428" s="1">
        <f>COUNTIF(Relatorio!$B$2:$B$4906,L428)</f>
        <v>0</v>
      </c>
      <c r="S428" s="5"/>
      <c r="U428" s="1">
        <f>COUNTIF(Relatorio!C324:C5323,V428)</f>
        <v>0</v>
      </c>
      <c r="AC428" s="5"/>
    </row>
    <row r="429" spans="11:29" x14ac:dyDescent="0.3">
      <c r="K429" s="1">
        <f>COUNTIF(Relatorio!$B$2:$B$4906,L429)</f>
        <v>0</v>
      </c>
      <c r="S429" s="5"/>
      <c r="U429" s="1">
        <f>COUNTIF(Relatorio!C325:C5324,V429)</f>
        <v>0</v>
      </c>
      <c r="AC429" s="5"/>
    </row>
    <row r="430" spans="11:29" x14ac:dyDescent="0.3">
      <c r="K430" s="1">
        <f>COUNTIF(Relatorio!$B$2:$B$4906,L430)</f>
        <v>0</v>
      </c>
      <c r="S430" s="5"/>
      <c r="U430" s="1">
        <f>COUNTIF(Relatorio!C326:C5325,V430)</f>
        <v>0</v>
      </c>
      <c r="AC430" s="5"/>
    </row>
    <row r="431" spans="11:29" x14ac:dyDescent="0.3">
      <c r="K431" s="1">
        <f>COUNTIF(Relatorio!$B$2:$B$4906,L431)</f>
        <v>0</v>
      </c>
      <c r="S431" s="5"/>
      <c r="U431" s="1">
        <f>COUNTIF(Relatorio!C327:C5326,V431)</f>
        <v>0</v>
      </c>
      <c r="AC431" s="5"/>
    </row>
    <row r="432" spans="11:29" x14ac:dyDescent="0.3">
      <c r="K432" s="1">
        <f>COUNTIF(Relatorio!$B$2:$B$4906,L432)</f>
        <v>0</v>
      </c>
      <c r="S432" s="5"/>
      <c r="U432" s="1">
        <f>COUNTIF(Relatorio!C328:C5327,V432)</f>
        <v>0</v>
      </c>
      <c r="AC432" s="5"/>
    </row>
    <row r="433" spans="11:29" x14ac:dyDescent="0.3">
      <c r="K433" s="1">
        <f>COUNTIF(Relatorio!$B$2:$B$4906,L433)</f>
        <v>0</v>
      </c>
      <c r="S433" s="5"/>
      <c r="U433" s="1">
        <f>COUNTIF(Relatorio!C329:C5328,V433)</f>
        <v>0</v>
      </c>
      <c r="AC433" s="5"/>
    </row>
    <row r="434" spans="11:29" x14ac:dyDescent="0.3">
      <c r="K434" s="1">
        <f>COUNTIF(Relatorio!$B$2:$B$4906,L434)</f>
        <v>0</v>
      </c>
      <c r="S434" s="5"/>
      <c r="U434" s="1">
        <f>COUNTIF(Relatorio!C330:C5329,V434)</f>
        <v>0</v>
      </c>
      <c r="AC434" s="5"/>
    </row>
    <row r="435" spans="11:29" x14ac:dyDescent="0.3">
      <c r="K435" s="1">
        <f>COUNTIF(Relatorio!$B$2:$B$4906,L435)</f>
        <v>0</v>
      </c>
      <c r="S435" s="5"/>
      <c r="U435" s="1">
        <f>COUNTIF(Relatorio!C331:C5330,V435)</f>
        <v>0</v>
      </c>
      <c r="AC435" s="5"/>
    </row>
    <row r="436" spans="11:29" x14ac:dyDescent="0.3">
      <c r="K436" s="1">
        <f>COUNTIF(Relatorio!$B$2:$B$4906,L436)</f>
        <v>0</v>
      </c>
      <c r="S436" s="5"/>
      <c r="U436" s="1">
        <f>COUNTIF(Relatorio!C332:C5331,V436)</f>
        <v>0</v>
      </c>
      <c r="AC436" s="5"/>
    </row>
    <row r="437" spans="11:29" x14ac:dyDescent="0.3">
      <c r="K437" s="1">
        <f>COUNTIF(Relatorio!$B$2:$B$4906,L437)</f>
        <v>0</v>
      </c>
      <c r="S437" s="5"/>
      <c r="U437" s="1">
        <f>COUNTIF(Relatorio!C333:C5332,V437)</f>
        <v>0</v>
      </c>
      <c r="AC437" s="5"/>
    </row>
    <row r="438" spans="11:29" x14ac:dyDescent="0.3">
      <c r="K438" s="1">
        <f>COUNTIF(Relatorio!$B$2:$B$4906,L438)</f>
        <v>0</v>
      </c>
      <c r="S438" s="5"/>
      <c r="U438" s="1">
        <f>COUNTIF(Relatorio!C334:C5333,V438)</f>
        <v>0</v>
      </c>
      <c r="AC438" s="5"/>
    </row>
    <row r="439" spans="11:29" x14ac:dyDescent="0.3">
      <c r="K439" s="1">
        <f>COUNTIF(Relatorio!$B$2:$B$4906,L439)</f>
        <v>0</v>
      </c>
      <c r="S439" s="5"/>
      <c r="U439" s="1">
        <f>COUNTIF(Relatorio!C335:C5334,V439)</f>
        <v>0</v>
      </c>
      <c r="AC439" s="5"/>
    </row>
    <row r="440" spans="11:29" x14ac:dyDescent="0.3">
      <c r="K440" s="1">
        <f>COUNTIF(Relatorio!$B$2:$B$4906,L440)</f>
        <v>0</v>
      </c>
      <c r="S440" s="5"/>
      <c r="U440" s="1">
        <f>COUNTIF(Relatorio!C336:C5335,V440)</f>
        <v>0</v>
      </c>
      <c r="AC440" s="5"/>
    </row>
    <row r="441" spans="11:29" x14ac:dyDescent="0.3">
      <c r="K441" s="1">
        <f>COUNTIF(Relatorio!$B$2:$B$4906,L441)</f>
        <v>0</v>
      </c>
      <c r="S441" s="5"/>
      <c r="U441" s="1">
        <f>COUNTIF(Relatorio!C337:C5336,V441)</f>
        <v>0</v>
      </c>
      <c r="AC441" s="5"/>
    </row>
    <row r="442" spans="11:29" x14ac:dyDescent="0.3">
      <c r="K442" s="1">
        <f>COUNTIF(Relatorio!$B$2:$B$4906,L442)</f>
        <v>0</v>
      </c>
      <c r="S442" s="5"/>
      <c r="U442" s="1">
        <f>COUNTIF(Relatorio!C338:C5337,V442)</f>
        <v>0</v>
      </c>
      <c r="AC442" s="5"/>
    </row>
    <row r="443" spans="11:29" x14ac:dyDescent="0.3">
      <c r="K443" s="1">
        <f>COUNTIF(Relatorio!$B$2:$B$4906,L443)</f>
        <v>0</v>
      </c>
      <c r="S443" s="5"/>
      <c r="U443" s="1">
        <f>COUNTIF(Relatorio!C339:C5338,V443)</f>
        <v>0</v>
      </c>
      <c r="AC443" s="5"/>
    </row>
    <row r="444" spans="11:29" x14ac:dyDescent="0.3">
      <c r="K444" s="1">
        <f>COUNTIF(Relatorio!$B$2:$B$4906,L444)</f>
        <v>0</v>
      </c>
      <c r="S444" s="5"/>
      <c r="U444" s="1">
        <f>COUNTIF(Relatorio!C340:C5339,V444)</f>
        <v>0</v>
      </c>
      <c r="AC444" s="5"/>
    </row>
    <row r="445" spans="11:29" x14ac:dyDescent="0.3">
      <c r="K445" s="1">
        <f>COUNTIF(Relatorio!$B$2:$B$4906,L445)</f>
        <v>0</v>
      </c>
      <c r="S445" s="5"/>
      <c r="U445" s="1">
        <f>COUNTIF(Relatorio!C341:C5340,V445)</f>
        <v>0</v>
      </c>
      <c r="AC445" s="5"/>
    </row>
    <row r="446" spans="11:29" x14ac:dyDescent="0.3">
      <c r="K446" s="1">
        <f>COUNTIF(Relatorio!$B$2:$B$4906,L446)</f>
        <v>0</v>
      </c>
      <c r="S446" s="5"/>
      <c r="U446" s="1">
        <f>COUNTIF(Relatorio!C342:C5341,V446)</f>
        <v>0</v>
      </c>
      <c r="AC446" s="5"/>
    </row>
    <row r="447" spans="11:29" x14ac:dyDescent="0.3">
      <c r="K447" s="1">
        <f>COUNTIF(Relatorio!$B$2:$B$4906,L447)</f>
        <v>0</v>
      </c>
      <c r="S447" s="5"/>
      <c r="U447" s="1">
        <f>COUNTIF(Relatorio!C343:C5342,V447)</f>
        <v>0</v>
      </c>
      <c r="AC447" s="5"/>
    </row>
    <row r="448" spans="11:29" x14ac:dyDescent="0.3">
      <c r="K448" s="1">
        <f>COUNTIF(Relatorio!$B$2:$B$4906,L448)</f>
        <v>0</v>
      </c>
      <c r="S448" s="5"/>
      <c r="U448" s="1">
        <f>COUNTIF(Relatorio!C344:C5343,V448)</f>
        <v>0</v>
      </c>
      <c r="AC448" s="5"/>
    </row>
    <row r="449" spans="11:29" x14ac:dyDescent="0.3">
      <c r="K449" s="1">
        <f>COUNTIF(Relatorio!$B$2:$B$4906,L449)</f>
        <v>0</v>
      </c>
      <c r="S449" s="5"/>
      <c r="U449" s="1">
        <f>COUNTIF(Relatorio!C345:C5344,V449)</f>
        <v>0</v>
      </c>
      <c r="AC449" s="5"/>
    </row>
    <row r="450" spans="11:29" x14ac:dyDescent="0.3">
      <c r="K450" s="1">
        <f>COUNTIF(Relatorio!$B$2:$B$4906,L450)</f>
        <v>0</v>
      </c>
      <c r="S450" s="5"/>
      <c r="U450" s="1">
        <f>COUNTIF(Relatorio!C346:C5345,V450)</f>
        <v>0</v>
      </c>
      <c r="AC450" s="5"/>
    </row>
    <row r="451" spans="11:29" x14ac:dyDescent="0.3">
      <c r="K451" s="1">
        <f>COUNTIF(Relatorio!$B$2:$B$4906,L451)</f>
        <v>0</v>
      </c>
      <c r="S451" s="5"/>
      <c r="U451" s="1">
        <f>COUNTIF(Relatorio!C347:C5346,V451)</f>
        <v>0</v>
      </c>
      <c r="AC451" s="5"/>
    </row>
    <row r="452" spans="11:29" x14ac:dyDescent="0.3">
      <c r="K452" s="1">
        <f>COUNTIF(Relatorio!$B$2:$B$4906,L452)</f>
        <v>0</v>
      </c>
      <c r="S452" s="5"/>
      <c r="U452" s="1">
        <f>COUNTIF(Relatorio!C348:C5347,V452)</f>
        <v>0</v>
      </c>
      <c r="AC452" s="5"/>
    </row>
    <row r="453" spans="11:29" x14ac:dyDescent="0.3">
      <c r="K453" s="1">
        <f>COUNTIF(Relatorio!$B$2:$B$4906,L453)</f>
        <v>0</v>
      </c>
      <c r="S453" s="5"/>
      <c r="U453" s="1">
        <f>COUNTIF(Relatorio!C349:C5348,V453)</f>
        <v>0</v>
      </c>
      <c r="AC453" s="5"/>
    </row>
    <row r="454" spans="11:29" x14ac:dyDescent="0.3">
      <c r="K454" s="1">
        <f>COUNTIF(Relatorio!$B$2:$B$4906,L454)</f>
        <v>0</v>
      </c>
      <c r="S454" s="5"/>
      <c r="U454" s="1">
        <f>COUNTIF(Relatorio!C350:C5349,V454)</f>
        <v>0</v>
      </c>
      <c r="AC454" s="5"/>
    </row>
    <row r="455" spans="11:29" x14ac:dyDescent="0.3">
      <c r="K455" s="1">
        <f>COUNTIF(Relatorio!$B$2:$B$4906,L455)</f>
        <v>0</v>
      </c>
      <c r="S455" s="5"/>
      <c r="U455" s="1">
        <f>COUNTIF(Relatorio!C351:C5350,V455)</f>
        <v>0</v>
      </c>
      <c r="AC455" s="5"/>
    </row>
    <row r="456" spans="11:29" x14ac:dyDescent="0.3">
      <c r="K456" s="1">
        <f>COUNTIF(Relatorio!$B$2:$B$4906,L456)</f>
        <v>0</v>
      </c>
      <c r="S456" s="5"/>
      <c r="U456" s="1">
        <f>COUNTIF(Relatorio!C352:C5351,V456)</f>
        <v>0</v>
      </c>
      <c r="AC456" s="5"/>
    </row>
    <row r="457" spans="11:29" x14ac:dyDescent="0.3">
      <c r="K457" s="1">
        <f>COUNTIF(Relatorio!$B$2:$B$4906,L457)</f>
        <v>0</v>
      </c>
      <c r="S457" s="5"/>
      <c r="U457" s="1">
        <f>COUNTIF(Relatorio!C353:C5352,V457)</f>
        <v>0</v>
      </c>
      <c r="AC457" s="5"/>
    </row>
    <row r="458" spans="11:29" x14ac:dyDescent="0.3">
      <c r="K458" s="1">
        <f>COUNTIF(Relatorio!$B$2:$B$4906,L458)</f>
        <v>0</v>
      </c>
      <c r="S458" s="5"/>
      <c r="U458" s="1">
        <f>COUNTIF(Relatorio!C354:C5353,V458)</f>
        <v>0</v>
      </c>
      <c r="AC458" s="5"/>
    </row>
    <row r="459" spans="11:29" x14ac:dyDescent="0.3">
      <c r="K459" s="1">
        <f>COUNTIF(Relatorio!$B$2:$B$4906,L459)</f>
        <v>0</v>
      </c>
      <c r="S459" s="5"/>
      <c r="U459" s="1">
        <f>COUNTIF(Relatorio!C355:C5354,V459)</f>
        <v>0</v>
      </c>
      <c r="AC459" s="5"/>
    </row>
    <row r="460" spans="11:29" x14ac:dyDescent="0.3">
      <c r="K460" s="1">
        <f>COUNTIF(Relatorio!$B$2:$B$4906,L460)</f>
        <v>0</v>
      </c>
      <c r="S460" s="5"/>
      <c r="U460" s="1">
        <f>COUNTIF(Relatorio!C356:C5355,V460)</f>
        <v>0</v>
      </c>
      <c r="AC460" s="5"/>
    </row>
    <row r="461" spans="11:29" x14ac:dyDescent="0.3">
      <c r="K461" s="1">
        <f>COUNTIF(Relatorio!$B$2:$B$4906,L461)</f>
        <v>0</v>
      </c>
      <c r="S461" s="5"/>
      <c r="U461" s="1">
        <f>COUNTIF(Relatorio!C357:C5356,V461)</f>
        <v>0</v>
      </c>
      <c r="AC461" s="5"/>
    </row>
    <row r="462" spans="11:29" x14ac:dyDescent="0.3">
      <c r="K462" s="1">
        <f>COUNTIF(Relatorio!$B$2:$B$4906,L462)</f>
        <v>0</v>
      </c>
      <c r="S462" s="5"/>
      <c r="U462" s="1">
        <f>COUNTIF(Relatorio!C358:C5357,V462)</f>
        <v>0</v>
      </c>
      <c r="AC462" s="5"/>
    </row>
    <row r="463" spans="11:29" x14ac:dyDescent="0.3">
      <c r="K463" s="1">
        <f>COUNTIF(Relatorio!$B$2:$B$4906,L463)</f>
        <v>0</v>
      </c>
      <c r="S463" s="5"/>
      <c r="U463" s="1">
        <f>COUNTIF(Relatorio!C359:C5358,V463)</f>
        <v>0</v>
      </c>
      <c r="AC463" s="5"/>
    </row>
    <row r="464" spans="11:29" x14ac:dyDescent="0.3">
      <c r="K464" s="1">
        <f>COUNTIF(Relatorio!$B$2:$B$4906,L464)</f>
        <v>0</v>
      </c>
      <c r="S464" s="5"/>
      <c r="U464" s="1">
        <f>COUNTIF(Relatorio!C360:C5359,V464)</f>
        <v>0</v>
      </c>
      <c r="AC464" s="5"/>
    </row>
    <row r="465" spans="11:29" x14ac:dyDescent="0.3">
      <c r="K465" s="1">
        <f>COUNTIF(Relatorio!$B$2:$B$4906,L465)</f>
        <v>0</v>
      </c>
      <c r="S465" s="5"/>
      <c r="U465" s="1">
        <f>COUNTIF(Relatorio!C361:C5360,V465)</f>
        <v>0</v>
      </c>
      <c r="AC465" s="5"/>
    </row>
    <row r="466" spans="11:29" x14ac:dyDescent="0.3">
      <c r="K466" s="1">
        <f>COUNTIF(Relatorio!$B$2:$B$4906,L466)</f>
        <v>0</v>
      </c>
      <c r="S466" s="5"/>
      <c r="U466" s="1">
        <f>COUNTIF(Relatorio!C362:C5361,V466)</f>
        <v>0</v>
      </c>
      <c r="AC466" s="5"/>
    </row>
    <row r="467" spans="11:29" x14ac:dyDescent="0.3">
      <c r="K467" s="1">
        <f>COUNTIF(Relatorio!$B$2:$B$4906,L467)</f>
        <v>0</v>
      </c>
      <c r="S467" s="5"/>
      <c r="U467" s="1">
        <f>COUNTIF(Relatorio!C363:C5362,V467)</f>
        <v>0</v>
      </c>
      <c r="AC467" s="5"/>
    </row>
    <row r="468" spans="11:29" x14ac:dyDescent="0.3">
      <c r="K468" s="1">
        <f>COUNTIF(Relatorio!$B$2:$B$4906,L468)</f>
        <v>0</v>
      </c>
      <c r="S468" s="5"/>
      <c r="U468" s="1">
        <f>COUNTIF(Relatorio!C364:C5363,V468)</f>
        <v>0</v>
      </c>
      <c r="AC468" s="5"/>
    </row>
    <row r="469" spans="11:29" x14ac:dyDescent="0.3">
      <c r="K469" s="1">
        <f>COUNTIF(Relatorio!$B$2:$B$4906,L469)</f>
        <v>0</v>
      </c>
      <c r="S469" s="5"/>
      <c r="U469" s="1">
        <f>COUNTIF(Relatorio!C365:C5364,V469)</f>
        <v>0</v>
      </c>
      <c r="AC469" s="5"/>
    </row>
    <row r="470" spans="11:29" x14ac:dyDescent="0.3">
      <c r="K470" s="1">
        <f>COUNTIF(Relatorio!$B$2:$B$4906,L470)</f>
        <v>0</v>
      </c>
      <c r="S470" s="5"/>
      <c r="U470" s="1">
        <f>COUNTIF(Relatorio!C366:C5365,V470)</f>
        <v>0</v>
      </c>
      <c r="AC470" s="5"/>
    </row>
    <row r="471" spans="11:29" x14ac:dyDescent="0.3">
      <c r="K471" s="1">
        <f>COUNTIF(Relatorio!$B$2:$B$4906,L471)</f>
        <v>0</v>
      </c>
      <c r="S471" s="5"/>
      <c r="U471" s="1">
        <f>COUNTIF(Relatorio!C367:C5366,V471)</f>
        <v>0</v>
      </c>
      <c r="AC471" s="5"/>
    </row>
    <row r="472" spans="11:29" x14ac:dyDescent="0.3">
      <c r="K472" s="1">
        <f>COUNTIF(Relatorio!$B$2:$B$4906,L472)</f>
        <v>0</v>
      </c>
      <c r="S472" s="5"/>
      <c r="U472" s="1">
        <f>COUNTIF(Relatorio!C368:C5367,V472)</f>
        <v>0</v>
      </c>
      <c r="AC472" s="5"/>
    </row>
    <row r="473" spans="11:29" x14ac:dyDescent="0.3">
      <c r="K473" s="1">
        <f>COUNTIF(Relatorio!$B$2:$B$4906,L473)</f>
        <v>0</v>
      </c>
      <c r="S473" s="5"/>
      <c r="U473" s="1">
        <f>COUNTIF(Relatorio!C369:C5368,V473)</f>
        <v>0</v>
      </c>
      <c r="AC473" s="5"/>
    </row>
    <row r="474" spans="11:29" x14ac:dyDescent="0.3">
      <c r="K474" s="1">
        <f>COUNTIF(Relatorio!$B$2:$B$4906,L474)</f>
        <v>0</v>
      </c>
      <c r="S474" s="5"/>
      <c r="U474" s="1">
        <f>COUNTIF(Relatorio!C370:C5369,V474)</f>
        <v>0</v>
      </c>
      <c r="AC474" s="5"/>
    </row>
    <row r="475" spans="11:29" x14ac:dyDescent="0.3">
      <c r="K475" s="1">
        <f>COUNTIF(Relatorio!$B$2:$B$4906,L475)</f>
        <v>0</v>
      </c>
      <c r="S475" s="5"/>
      <c r="U475" s="1">
        <f>COUNTIF(Relatorio!C371:C5370,V475)</f>
        <v>0</v>
      </c>
      <c r="AC475" s="5"/>
    </row>
    <row r="476" spans="11:29" x14ac:dyDescent="0.3">
      <c r="K476" s="1">
        <f>COUNTIF(Relatorio!$B$2:$B$4906,L476)</f>
        <v>0</v>
      </c>
      <c r="S476" s="5"/>
      <c r="U476" s="1">
        <f>COUNTIF(Relatorio!C372:C5371,V476)</f>
        <v>0</v>
      </c>
      <c r="AC476" s="5"/>
    </row>
    <row r="477" spans="11:29" x14ac:dyDescent="0.3">
      <c r="K477" s="1">
        <f>COUNTIF(Relatorio!$B$2:$B$4906,L477)</f>
        <v>0</v>
      </c>
      <c r="S477" s="5"/>
      <c r="U477" s="1">
        <f>COUNTIF(Relatorio!C373:C5372,V477)</f>
        <v>0</v>
      </c>
      <c r="AC477" s="5"/>
    </row>
    <row r="478" spans="11:29" x14ac:dyDescent="0.3">
      <c r="K478" s="1">
        <f>COUNTIF(Relatorio!$B$2:$B$4906,L478)</f>
        <v>0</v>
      </c>
      <c r="S478" s="5"/>
      <c r="U478" s="1">
        <f>COUNTIF(Relatorio!C374:C5373,V478)</f>
        <v>0</v>
      </c>
      <c r="AC478" s="5"/>
    </row>
    <row r="479" spans="11:29" x14ac:dyDescent="0.3">
      <c r="K479" s="1">
        <f>COUNTIF(Relatorio!$B$2:$B$4906,L479)</f>
        <v>0</v>
      </c>
      <c r="S479" s="5"/>
      <c r="U479" s="1">
        <f>COUNTIF(Relatorio!C375:C5374,V479)</f>
        <v>0</v>
      </c>
      <c r="AC479" s="5"/>
    </row>
    <row r="480" spans="11:29" x14ac:dyDescent="0.3">
      <c r="K480" s="1">
        <f>COUNTIF(Relatorio!$B$2:$B$4906,L480)</f>
        <v>0</v>
      </c>
      <c r="S480" s="5"/>
      <c r="U480" s="1">
        <f>COUNTIF(Relatorio!C376:C5375,V480)</f>
        <v>0</v>
      </c>
      <c r="AC480" s="5"/>
    </row>
    <row r="481" spans="11:29" x14ac:dyDescent="0.3">
      <c r="K481" s="1">
        <f>COUNTIF(Relatorio!$B$2:$B$4906,L481)</f>
        <v>0</v>
      </c>
      <c r="S481" s="5"/>
      <c r="U481" s="1">
        <f>COUNTIF(Relatorio!C377:C5376,V481)</f>
        <v>0</v>
      </c>
      <c r="AC481" s="5"/>
    </row>
    <row r="482" spans="11:29" x14ac:dyDescent="0.3">
      <c r="K482" s="1">
        <f>COUNTIF(Relatorio!$B$2:$B$4906,L482)</f>
        <v>0</v>
      </c>
      <c r="S482" s="5"/>
      <c r="U482" s="1">
        <f>COUNTIF(Relatorio!C378:C5377,V482)</f>
        <v>0</v>
      </c>
      <c r="AC482" s="5"/>
    </row>
    <row r="483" spans="11:29" x14ac:dyDescent="0.3">
      <c r="K483" s="1">
        <f>COUNTIF(Relatorio!$B$2:$B$4906,L483)</f>
        <v>0</v>
      </c>
      <c r="S483" s="5"/>
      <c r="U483" s="1">
        <f>COUNTIF(Relatorio!C379:C5378,V483)</f>
        <v>0</v>
      </c>
      <c r="AC483" s="5"/>
    </row>
    <row r="484" spans="11:29" x14ac:dyDescent="0.3">
      <c r="K484" s="1">
        <f>COUNTIF(Relatorio!$B$2:$B$4906,L484)</f>
        <v>0</v>
      </c>
      <c r="S484" s="5"/>
      <c r="U484" s="1">
        <f>COUNTIF(Relatorio!C380:C5379,V484)</f>
        <v>0</v>
      </c>
      <c r="AC484" s="5"/>
    </row>
    <row r="485" spans="11:29" x14ac:dyDescent="0.3">
      <c r="K485" s="1">
        <f>COUNTIF(Relatorio!$B$2:$B$4906,L485)</f>
        <v>0</v>
      </c>
      <c r="S485" s="5"/>
      <c r="U485" s="1">
        <f>COUNTIF(Relatorio!C381:C5380,V485)</f>
        <v>0</v>
      </c>
      <c r="AC485" s="5"/>
    </row>
    <row r="486" spans="11:29" x14ac:dyDescent="0.3">
      <c r="K486" s="1">
        <f>COUNTIF(Relatorio!$B$2:$B$4906,L486)</f>
        <v>0</v>
      </c>
      <c r="S486" s="5"/>
      <c r="U486" s="1">
        <f>COUNTIF(Relatorio!C382:C5381,V486)</f>
        <v>0</v>
      </c>
      <c r="AC486" s="5"/>
    </row>
    <row r="487" spans="11:29" x14ac:dyDescent="0.3">
      <c r="K487" s="1">
        <f>COUNTIF(Relatorio!$B$2:$B$4906,L487)</f>
        <v>0</v>
      </c>
      <c r="S487" s="5"/>
      <c r="U487" s="1">
        <f>COUNTIF(Relatorio!C383:C5382,V487)</f>
        <v>0</v>
      </c>
      <c r="AC487" s="5"/>
    </row>
    <row r="488" spans="11:29" x14ac:dyDescent="0.3">
      <c r="K488" s="1">
        <f>COUNTIF(Relatorio!$B$2:$B$4906,L488)</f>
        <v>0</v>
      </c>
      <c r="S488" s="5"/>
      <c r="U488" s="1">
        <f>COUNTIF(Relatorio!C384:C5383,V488)</f>
        <v>0</v>
      </c>
      <c r="AC488" s="5"/>
    </row>
    <row r="489" spans="11:29" x14ac:dyDescent="0.3">
      <c r="K489" s="1">
        <f>COUNTIF(Relatorio!$B$2:$B$4906,L489)</f>
        <v>0</v>
      </c>
      <c r="S489" s="5"/>
      <c r="U489" s="1">
        <f>COUNTIF(Relatorio!C385:C5384,V489)</f>
        <v>0</v>
      </c>
      <c r="AC489" s="5"/>
    </row>
    <row r="490" spans="11:29" x14ac:dyDescent="0.3">
      <c r="K490" s="1">
        <f>COUNTIF(Relatorio!$B$2:$B$4906,L490)</f>
        <v>0</v>
      </c>
      <c r="S490" s="5"/>
      <c r="U490" s="1">
        <f>COUNTIF(Relatorio!C386:C5385,V490)</f>
        <v>0</v>
      </c>
      <c r="AC490" s="5"/>
    </row>
    <row r="491" spans="11:29" x14ac:dyDescent="0.3">
      <c r="K491" s="1">
        <f>COUNTIF(Relatorio!$B$2:$B$4906,L491)</f>
        <v>0</v>
      </c>
      <c r="S491" s="5"/>
      <c r="U491" s="1">
        <f>COUNTIF(Relatorio!C387:C5386,V491)</f>
        <v>0</v>
      </c>
      <c r="AC491" s="5"/>
    </row>
    <row r="492" spans="11:29" x14ac:dyDescent="0.3">
      <c r="K492" s="1">
        <f>COUNTIF(Relatorio!$B$2:$B$4906,L492)</f>
        <v>0</v>
      </c>
      <c r="S492" s="5"/>
      <c r="U492" s="1">
        <f>COUNTIF(Relatorio!C388:C5387,V492)</f>
        <v>0</v>
      </c>
      <c r="AC492" s="5"/>
    </row>
    <row r="493" spans="11:29" x14ac:dyDescent="0.3">
      <c r="K493" s="1">
        <f>COUNTIF(Relatorio!$B$2:$B$4906,L493)</f>
        <v>0</v>
      </c>
      <c r="S493" s="5"/>
      <c r="U493" s="1">
        <f>COUNTIF(Relatorio!C389:C5388,V493)</f>
        <v>0</v>
      </c>
      <c r="AC493" s="5"/>
    </row>
    <row r="494" spans="11:29" x14ac:dyDescent="0.3">
      <c r="K494" s="1">
        <f>COUNTIF(Relatorio!$B$2:$B$4906,L494)</f>
        <v>0</v>
      </c>
      <c r="S494" s="5"/>
      <c r="U494" s="1">
        <f>COUNTIF(Relatorio!C390:C5389,V494)</f>
        <v>0</v>
      </c>
      <c r="AC494" s="5"/>
    </row>
    <row r="495" spans="11:29" x14ac:dyDescent="0.3">
      <c r="K495" s="1">
        <f>COUNTIF(Relatorio!$B$2:$B$4906,L495)</f>
        <v>0</v>
      </c>
      <c r="S495" s="5"/>
      <c r="U495" s="1">
        <f>COUNTIF(Relatorio!C391:C5390,V495)</f>
        <v>0</v>
      </c>
      <c r="AC495" s="5"/>
    </row>
    <row r="496" spans="11:29" x14ac:dyDescent="0.3">
      <c r="K496" s="1">
        <f>COUNTIF(Relatorio!$B$2:$B$4906,L496)</f>
        <v>0</v>
      </c>
      <c r="S496" s="5"/>
      <c r="U496" s="1">
        <f>COUNTIF(Relatorio!C392:C5391,V496)</f>
        <v>0</v>
      </c>
      <c r="AC496" s="5"/>
    </row>
    <row r="497" spans="11:29" x14ac:dyDescent="0.3">
      <c r="K497" s="1">
        <f>COUNTIF(Relatorio!$B$2:$B$4906,L497)</f>
        <v>0</v>
      </c>
      <c r="S497" s="5"/>
      <c r="U497" s="1">
        <f>COUNTIF(Relatorio!C393:C5392,V497)</f>
        <v>0</v>
      </c>
      <c r="AC497" s="5"/>
    </row>
    <row r="498" spans="11:29" x14ac:dyDescent="0.3">
      <c r="K498" s="1">
        <f>COUNTIF(Relatorio!$B$2:$B$4906,L498)</f>
        <v>0</v>
      </c>
      <c r="S498" s="5"/>
      <c r="U498" s="1">
        <f>COUNTIF(Relatorio!C394:C5393,V498)</f>
        <v>0</v>
      </c>
      <c r="AC498" s="5"/>
    </row>
    <row r="499" spans="11:29" x14ac:dyDescent="0.3">
      <c r="K499" s="1">
        <f>COUNTIF(Relatorio!$B$2:$B$4906,L499)</f>
        <v>0</v>
      </c>
      <c r="S499" s="5"/>
      <c r="U499" s="1">
        <f>COUNTIF(Relatorio!C395:C5394,V499)</f>
        <v>0</v>
      </c>
      <c r="AC499" s="5"/>
    </row>
    <row r="500" spans="11:29" x14ac:dyDescent="0.3">
      <c r="K500" s="1">
        <f>COUNTIF(Relatorio!$B$2:$B$4906,L500)</f>
        <v>0</v>
      </c>
      <c r="S500" s="5"/>
      <c r="U500" s="1">
        <f>COUNTIF(Relatorio!C396:C5395,V500)</f>
        <v>0</v>
      </c>
      <c r="AC500" s="5"/>
    </row>
    <row r="501" spans="11:29" x14ac:dyDescent="0.3">
      <c r="K501" s="1">
        <f>COUNTIF(Relatorio!$B$2:$B$4906,L501)</f>
        <v>0</v>
      </c>
      <c r="S501" s="5"/>
      <c r="U501" s="1">
        <f>COUNTIF(Relatorio!C397:C5396,V501)</f>
        <v>0</v>
      </c>
      <c r="AC501" s="5"/>
    </row>
    <row r="502" spans="11:29" x14ac:dyDescent="0.3">
      <c r="K502" s="1">
        <f>COUNTIF(Relatorio!$B$2:$B$4906,L502)</f>
        <v>0</v>
      </c>
      <c r="S502" s="5"/>
      <c r="U502" s="1">
        <f>COUNTIF(Relatorio!C398:C5397,V502)</f>
        <v>0</v>
      </c>
      <c r="AC502" s="5"/>
    </row>
    <row r="503" spans="11:29" x14ac:dyDescent="0.3">
      <c r="K503" s="1">
        <f>COUNTIF(Relatorio!$B$2:$B$4906,L503)</f>
        <v>0</v>
      </c>
      <c r="S503" s="5"/>
      <c r="U503" s="1">
        <f>COUNTIF(Relatorio!C399:C5398,V503)</f>
        <v>0</v>
      </c>
      <c r="AC503" s="5"/>
    </row>
    <row r="504" spans="11:29" x14ac:dyDescent="0.3">
      <c r="K504" s="1">
        <f>COUNTIF(Relatorio!$B$2:$B$4906,L504)</f>
        <v>0</v>
      </c>
      <c r="S504" s="5"/>
      <c r="U504" s="1">
        <f>COUNTIF(Relatorio!C400:C5399,V504)</f>
        <v>0</v>
      </c>
      <c r="AC504" s="5"/>
    </row>
    <row r="505" spans="11:29" x14ac:dyDescent="0.3">
      <c r="K505" s="1">
        <f>COUNTIF(Relatorio!$B$2:$B$4906,L505)</f>
        <v>0</v>
      </c>
      <c r="S505" s="5"/>
      <c r="U505" s="1">
        <f>COUNTIF(Relatorio!C401:C5400,V505)</f>
        <v>0</v>
      </c>
      <c r="AC505" s="5"/>
    </row>
    <row r="506" spans="11:29" x14ac:dyDescent="0.3">
      <c r="K506" s="1">
        <f>COUNTIF(Relatorio!$B$2:$B$4906,L506)</f>
        <v>0</v>
      </c>
      <c r="S506" s="5"/>
      <c r="U506" s="1">
        <f>COUNTIF(Relatorio!C402:C5401,V506)</f>
        <v>0</v>
      </c>
      <c r="AC506" s="5"/>
    </row>
    <row r="507" spans="11:29" x14ac:dyDescent="0.3">
      <c r="K507" s="1">
        <f>COUNTIF(Relatorio!$B$2:$B$4906,L507)</f>
        <v>0</v>
      </c>
      <c r="S507" s="5"/>
      <c r="U507" s="1">
        <f>COUNTIF(Relatorio!C403:C5402,V507)</f>
        <v>0</v>
      </c>
      <c r="AC507" s="5"/>
    </row>
    <row r="508" spans="11:29" x14ac:dyDescent="0.3">
      <c r="K508" s="1">
        <f>COUNTIF(Relatorio!$B$2:$B$4906,L508)</f>
        <v>0</v>
      </c>
      <c r="S508" s="5"/>
      <c r="U508" s="1">
        <f>COUNTIF(Relatorio!C404:C5403,V508)</f>
        <v>0</v>
      </c>
      <c r="AC508" s="5"/>
    </row>
    <row r="509" spans="11:29" x14ac:dyDescent="0.3">
      <c r="K509" s="1">
        <f>COUNTIF(Relatorio!$B$2:$B$4906,L509)</f>
        <v>0</v>
      </c>
      <c r="S509" s="5"/>
      <c r="U509" s="1">
        <f>COUNTIF(Relatorio!C405:C5404,V509)</f>
        <v>0</v>
      </c>
      <c r="AC509" s="5"/>
    </row>
    <row r="510" spans="11:29" x14ac:dyDescent="0.3">
      <c r="K510" s="1">
        <f>COUNTIF(Relatorio!$B$2:$B$4906,L510)</f>
        <v>0</v>
      </c>
      <c r="S510" s="5"/>
      <c r="U510" s="1">
        <f>COUNTIF(Relatorio!C406:C5405,V510)</f>
        <v>0</v>
      </c>
      <c r="AC510" s="5"/>
    </row>
    <row r="511" spans="11:29" x14ac:dyDescent="0.3">
      <c r="K511" s="1">
        <f>COUNTIF(Relatorio!$B$2:$B$4906,L511)</f>
        <v>0</v>
      </c>
      <c r="S511" s="5"/>
      <c r="U511" s="1">
        <f>COUNTIF(Relatorio!C407:C5406,V511)</f>
        <v>0</v>
      </c>
      <c r="AC511" s="5"/>
    </row>
    <row r="512" spans="11:29" x14ac:dyDescent="0.3">
      <c r="K512" s="1">
        <f>COUNTIF(Relatorio!$B$2:$B$4906,L512)</f>
        <v>0</v>
      </c>
      <c r="S512" s="5"/>
      <c r="U512" s="1">
        <f>COUNTIF(Relatorio!C408:C5407,V512)</f>
        <v>0</v>
      </c>
      <c r="AC512" s="5"/>
    </row>
    <row r="513" spans="11:29" x14ac:dyDescent="0.3">
      <c r="K513" s="1">
        <f>COUNTIF(Relatorio!$B$2:$B$4906,L513)</f>
        <v>0</v>
      </c>
      <c r="S513" s="5"/>
      <c r="U513" s="1">
        <f>COUNTIF(Relatorio!C409:C5408,V513)</f>
        <v>0</v>
      </c>
      <c r="AC513" s="5"/>
    </row>
    <row r="514" spans="11:29" x14ac:dyDescent="0.3">
      <c r="K514" s="1">
        <f>COUNTIF(Relatorio!$B$2:$B$4906,L514)</f>
        <v>0</v>
      </c>
      <c r="S514" s="5"/>
      <c r="U514" s="1">
        <f>COUNTIF(Relatorio!C410:C5409,V514)</f>
        <v>0</v>
      </c>
      <c r="AC514" s="5"/>
    </row>
    <row r="515" spans="11:29" x14ac:dyDescent="0.3">
      <c r="K515" s="1">
        <f>COUNTIF(Relatorio!$B$2:$B$4906,L515)</f>
        <v>0</v>
      </c>
      <c r="S515" s="5"/>
      <c r="U515" s="1">
        <f>COUNTIF(Relatorio!C411:C5410,V515)</f>
        <v>0</v>
      </c>
      <c r="AC515" s="5"/>
    </row>
    <row r="516" spans="11:29" x14ac:dyDescent="0.3">
      <c r="K516" s="1">
        <f>COUNTIF(Relatorio!$B$2:$B$4906,L516)</f>
        <v>0</v>
      </c>
      <c r="S516" s="5"/>
      <c r="U516" s="1">
        <f>COUNTIF(Relatorio!C412:C5411,V516)</f>
        <v>0</v>
      </c>
      <c r="AC516" s="5"/>
    </row>
    <row r="517" spans="11:29" x14ac:dyDescent="0.3">
      <c r="K517" s="1">
        <f>COUNTIF(Relatorio!$B$2:$B$4906,L517)</f>
        <v>0</v>
      </c>
      <c r="S517" s="5"/>
      <c r="U517" s="1">
        <f>COUNTIF(Relatorio!C413:C5412,V517)</f>
        <v>0</v>
      </c>
      <c r="AC517" s="5"/>
    </row>
    <row r="518" spans="11:29" x14ac:dyDescent="0.3">
      <c r="K518" s="1">
        <f>COUNTIF(Relatorio!$B$2:$B$4906,L518)</f>
        <v>0</v>
      </c>
      <c r="S518" s="5"/>
      <c r="U518" s="1">
        <f>COUNTIF(Relatorio!C414:C5413,V518)</f>
        <v>0</v>
      </c>
      <c r="AC518" s="5"/>
    </row>
    <row r="519" spans="11:29" x14ac:dyDescent="0.3">
      <c r="S519" s="5"/>
      <c r="U519" s="1">
        <f>COUNTIF(Relatorio!C415:C5414,V519)</f>
        <v>0</v>
      </c>
      <c r="AC519" s="5"/>
    </row>
    <row r="520" spans="11:29" x14ac:dyDescent="0.3">
      <c r="S520" s="5"/>
      <c r="U520" s="1">
        <f>COUNTIF(Relatorio!C416:C5415,V520)</f>
        <v>0</v>
      </c>
      <c r="AC520" s="5"/>
    </row>
    <row r="521" spans="11:29" x14ac:dyDescent="0.3">
      <c r="S521" s="5"/>
      <c r="U521" s="1">
        <f>COUNTIF(Relatorio!C417:C5416,V521)</f>
        <v>0</v>
      </c>
      <c r="AC521" s="5"/>
    </row>
    <row r="522" spans="11:29" x14ac:dyDescent="0.3">
      <c r="S522" s="5"/>
      <c r="U522" s="1">
        <f>COUNTIF(Relatorio!C418:C5417,V522)</f>
        <v>0</v>
      </c>
      <c r="AC522" s="5"/>
    </row>
    <row r="523" spans="11:29" x14ac:dyDescent="0.3">
      <c r="S523" s="5"/>
      <c r="U523" s="1">
        <f>COUNTIF(Relatorio!C419:C5418,V523)</f>
        <v>0</v>
      </c>
      <c r="AC523" s="5"/>
    </row>
    <row r="524" spans="11:29" x14ac:dyDescent="0.3">
      <c r="S524" s="5"/>
      <c r="U524" s="1">
        <f>COUNTIF(Relatorio!C420:C5419,V524)</f>
        <v>0</v>
      </c>
      <c r="AC524" s="5"/>
    </row>
    <row r="525" spans="11:29" x14ac:dyDescent="0.3">
      <c r="S525" s="5"/>
      <c r="U525" s="1">
        <f>COUNTIF(Relatorio!C421:C5420,V525)</f>
        <v>0</v>
      </c>
      <c r="AC525" s="5"/>
    </row>
    <row r="526" spans="11:29" x14ac:dyDescent="0.3">
      <c r="S526" s="5"/>
      <c r="U526" s="1">
        <f>COUNTIF(Relatorio!C422:C5421,V526)</f>
        <v>0</v>
      </c>
      <c r="AC526" s="5"/>
    </row>
    <row r="527" spans="11:29" x14ac:dyDescent="0.3">
      <c r="S527" s="5"/>
      <c r="U527" s="1">
        <f>COUNTIF(Relatorio!C423:C5422,V527)</f>
        <v>0</v>
      </c>
      <c r="AC527" s="5"/>
    </row>
    <row r="528" spans="11:29" x14ac:dyDescent="0.3">
      <c r="S528" s="5"/>
      <c r="U528" s="1">
        <f>COUNTIF(Relatorio!C424:C5423,V528)</f>
        <v>0</v>
      </c>
      <c r="AC528" s="5"/>
    </row>
    <row r="529" spans="19:29" x14ac:dyDescent="0.3">
      <c r="S529" s="5"/>
      <c r="U529" s="1">
        <f>COUNTIF(Relatorio!C425:C5424,V529)</f>
        <v>0</v>
      </c>
      <c r="AC529" s="5"/>
    </row>
    <row r="530" spans="19:29" x14ac:dyDescent="0.3">
      <c r="S530" s="5"/>
      <c r="U530" s="1">
        <f>COUNTIF(Relatorio!C426:C5425,V530)</f>
        <v>0</v>
      </c>
      <c r="AC530" s="5"/>
    </row>
    <row r="531" spans="19:29" x14ac:dyDescent="0.3">
      <c r="S531" s="5"/>
      <c r="U531" s="1">
        <f>COUNTIF(Relatorio!C427:C5426,V531)</f>
        <v>0</v>
      </c>
      <c r="AC531" s="5"/>
    </row>
    <row r="532" spans="19:29" x14ac:dyDescent="0.3">
      <c r="S532" s="5"/>
      <c r="U532" s="1">
        <f>COUNTIF(Relatorio!C428:C5427,V532)</f>
        <v>0</v>
      </c>
      <c r="AC532" s="5"/>
    </row>
    <row r="533" spans="19:29" x14ac:dyDescent="0.3">
      <c r="S533" s="5"/>
      <c r="U533" s="1">
        <f>COUNTIF(Relatorio!C429:C5428,V533)</f>
        <v>0</v>
      </c>
      <c r="AC533" s="5"/>
    </row>
    <row r="534" spans="19:29" x14ac:dyDescent="0.3">
      <c r="S534" s="5"/>
      <c r="U534" s="1">
        <f>COUNTIF(Relatorio!C430:C5429,V534)</f>
        <v>0</v>
      </c>
      <c r="AC534" s="5"/>
    </row>
    <row r="535" spans="19:29" x14ac:dyDescent="0.3">
      <c r="S535" s="5"/>
      <c r="U535" s="1">
        <f>COUNTIF(Relatorio!C431:C5430,V535)</f>
        <v>0</v>
      </c>
      <c r="AC535" s="5"/>
    </row>
    <row r="536" spans="19:29" x14ac:dyDescent="0.3">
      <c r="S536" s="5"/>
      <c r="U536" s="1">
        <f>COUNTIF(Relatorio!C432:C5431,V536)</f>
        <v>0</v>
      </c>
      <c r="AC536" s="5"/>
    </row>
    <row r="537" spans="19:29" x14ac:dyDescent="0.3">
      <c r="S537" s="5"/>
      <c r="U537" s="1">
        <f>COUNTIF(Relatorio!C433:C5432,V537)</f>
        <v>0</v>
      </c>
      <c r="AC537" s="5"/>
    </row>
    <row r="538" spans="19:29" x14ac:dyDescent="0.3">
      <c r="U538" s="1">
        <f>COUNTIF(Relatorio!C434:C5433,V538)</f>
        <v>0</v>
      </c>
      <c r="AC538" s="5"/>
    </row>
    <row r="539" spans="19:29" x14ac:dyDescent="0.3">
      <c r="U539" s="1">
        <f>COUNTIF(Relatorio!C435:C5434,V539)</f>
        <v>0</v>
      </c>
      <c r="AC539" s="5"/>
    </row>
    <row r="540" spans="19:29" x14ac:dyDescent="0.3">
      <c r="U540" s="1">
        <f>COUNTIF(Relatorio!C436:C5435,V540)</f>
        <v>0</v>
      </c>
      <c r="AC540" s="5"/>
    </row>
    <row r="541" spans="19:29" x14ac:dyDescent="0.3">
      <c r="U541" s="1">
        <f>COUNTIF(Relatorio!C437:C5436,V541)</f>
        <v>0</v>
      </c>
      <c r="AC541" s="5"/>
    </row>
    <row r="542" spans="19:29" x14ac:dyDescent="0.3">
      <c r="U542" s="1">
        <f>COUNTIF(Relatorio!C438:C5437,V542)</f>
        <v>0</v>
      </c>
      <c r="AC542" s="5"/>
    </row>
    <row r="543" spans="19:29" x14ac:dyDescent="0.3">
      <c r="U543" s="1">
        <f>COUNTIF(Relatorio!C439:C5438,V543)</f>
        <v>0</v>
      </c>
      <c r="AC543" s="5"/>
    </row>
    <row r="544" spans="19:29" x14ac:dyDescent="0.3">
      <c r="U544" s="1">
        <f>COUNTIF(Relatorio!C440:C5439,V544)</f>
        <v>0</v>
      </c>
      <c r="AC544" s="5"/>
    </row>
    <row r="545" spans="21:29" x14ac:dyDescent="0.3">
      <c r="U545" s="1">
        <f>COUNTIF(Relatorio!C441:C5440,V545)</f>
        <v>0</v>
      </c>
      <c r="AC545" s="5"/>
    </row>
    <row r="546" spans="21:29" x14ac:dyDescent="0.3">
      <c r="U546" s="1">
        <f>COUNTIF(Relatorio!C442:C5441,V546)</f>
        <v>0</v>
      </c>
      <c r="AC546" s="5"/>
    </row>
    <row r="547" spans="21:29" x14ac:dyDescent="0.3">
      <c r="U547" s="1">
        <f>COUNTIF(Relatorio!C443:C5442,V547)</f>
        <v>0</v>
      </c>
      <c r="AC547" s="5"/>
    </row>
    <row r="548" spans="21:29" x14ac:dyDescent="0.3">
      <c r="U548" s="1">
        <f>COUNTIF(Relatorio!C444:C5443,V548)</f>
        <v>0</v>
      </c>
      <c r="AC548" s="5"/>
    </row>
    <row r="549" spans="21:29" x14ac:dyDescent="0.3">
      <c r="U549" s="1">
        <f>COUNTIF(Relatorio!C445:C5444,V549)</f>
        <v>0</v>
      </c>
      <c r="AC549" s="5"/>
    </row>
    <row r="550" spans="21:29" x14ac:dyDescent="0.3">
      <c r="U550" s="1">
        <f>COUNTIF(Relatorio!C446:C5445,V550)</f>
        <v>0</v>
      </c>
      <c r="AC550" s="5"/>
    </row>
    <row r="551" spans="21:29" x14ac:dyDescent="0.3">
      <c r="U551" s="1">
        <f>COUNTIF(Relatorio!C447:C5446,V551)</f>
        <v>0</v>
      </c>
      <c r="AC551" s="5"/>
    </row>
    <row r="552" spans="21:29" x14ac:dyDescent="0.3">
      <c r="U552" s="1">
        <f>COUNTIF(Relatorio!C448:C5447,V552)</f>
        <v>0</v>
      </c>
      <c r="AC552" s="5"/>
    </row>
    <row r="553" spans="21:29" x14ac:dyDescent="0.3">
      <c r="U553" s="1">
        <f>COUNTIF(Relatorio!C449:C5448,V553)</f>
        <v>0</v>
      </c>
      <c r="AC553" s="5"/>
    </row>
    <row r="554" spans="21:29" x14ac:dyDescent="0.3">
      <c r="U554" s="1">
        <f>COUNTIF(Relatorio!C450:C5449,V554)</f>
        <v>0</v>
      </c>
      <c r="AC554" s="5"/>
    </row>
    <row r="555" spans="21:29" x14ac:dyDescent="0.3">
      <c r="U555" s="1">
        <f>COUNTIF(Relatorio!C451:C5450,V555)</f>
        <v>0</v>
      </c>
      <c r="AC555" s="5"/>
    </row>
    <row r="556" spans="21:29" x14ac:dyDescent="0.3">
      <c r="U556" s="1">
        <f>COUNTIF(Relatorio!C452:C5451,V556)</f>
        <v>0</v>
      </c>
      <c r="AC556" s="5"/>
    </row>
    <row r="557" spans="21:29" x14ac:dyDescent="0.3">
      <c r="U557" s="1">
        <f>COUNTIF(Relatorio!C453:C5452,V557)</f>
        <v>0</v>
      </c>
      <c r="AC557" s="5"/>
    </row>
    <row r="558" spans="21:29" x14ac:dyDescent="0.3">
      <c r="U558" s="1">
        <f>COUNTIF(Relatorio!C454:C5453,V558)</f>
        <v>0</v>
      </c>
      <c r="AC558" s="5"/>
    </row>
    <row r="559" spans="21:29" x14ac:dyDescent="0.3">
      <c r="U559" s="1">
        <f>COUNTIF(Relatorio!C455:C5454,V559)</f>
        <v>0</v>
      </c>
      <c r="AC559" s="5"/>
    </row>
    <row r="560" spans="21:29" x14ac:dyDescent="0.3">
      <c r="U560" s="1">
        <f>COUNTIF(Relatorio!C456:C5455,V560)</f>
        <v>0</v>
      </c>
      <c r="AC560" s="5"/>
    </row>
    <row r="561" spans="21:29" x14ac:dyDescent="0.3">
      <c r="U561" s="1">
        <f>COUNTIF(Relatorio!C457:C5456,V561)</f>
        <v>0</v>
      </c>
      <c r="AC561" s="5"/>
    </row>
    <row r="562" spans="21:29" x14ac:dyDescent="0.3">
      <c r="U562" s="1">
        <f>COUNTIF(Relatorio!C458:C5457,V562)</f>
        <v>0</v>
      </c>
      <c r="AC562" s="5"/>
    </row>
    <row r="563" spans="21:29" x14ac:dyDescent="0.3">
      <c r="U563" s="1">
        <f>COUNTIF(Relatorio!C459:C5458,V563)</f>
        <v>0</v>
      </c>
      <c r="AC563" s="5"/>
    </row>
    <row r="564" spans="21:29" x14ac:dyDescent="0.3">
      <c r="U564" s="1">
        <f>COUNTIF(Relatorio!C460:C5459,V564)</f>
        <v>0</v>
      </c>
      <c r="AC564" s="5"/>
    </row>
    <row r="565" spans="21:29" x14ac:dyDescent="0.3">
      <c r="U565" s="1">
        <f>COUNTIF(Relatorio!C461:C5460,V565)</f>
        <v>0</v>
      </c>
      <c r="AC565" s="5"/>
    </row>
    <row r="566" spans="21:29" x14ac:dyDescent="0.3">
      <c r="U566" s="1">
        <f>COUNTIF(Relatorio!C462:C5461,V566)</f>
        <v>0</v>
      </c>
      <c r="AC566" s="5"/>
    </row>
    <row r="567" spans="21:29" x14ac:dyDescent="0.3">
      <c r="U567" s="1">
        <f>COUNTIF(Relatorio!C463:C5462,V567)</f>
        <v>0</v>
      </c>
      <c r="AC567" s="5"/>
    </row>
    <row r="568" spans="21:29" x14ac:dyDescent="0.3">
      <c r="U568" s="1">
        <f>COUNTIF(Relatorio!C464:C5463,V568)</f>
        <v>0</v>
      </c>
      <c r="AC568" s="5"/>
    </row>
    <row r="569" spans="21:29" x14ac:dyDescent="0.3">
      <c r="U569" s="1">
        <f>COUNTIF(Relatorio!C465:C5464,V569)</f>
        <v>0</v>
      </c>
      <c r="AC569" s="5"/>
    </row>
    <row r="570" spans="21:29" x14ac:dyDescent="0.3">
      <c r="U570" s="1">
        <f>COUNTIF(Relatorio!C466:C5465,V570)</f>
        <v>0</v>
      </c>
      <c r="AC570" s="5"/>
    </row>
    <row r="571" spans="21:29" x14ac:dyDescent="0.3">
      <c r="U571" s="1">
        <f>COUNTIF(Relatorio!C467:C5466,V571)</f>
        <v>0</v>
      </c>
      <c r="AC571" s="5"/>
    </row>
    <row r="572" spans="21:29" x14ac:dyDescent="0.3">
      <c r="U572" s="1">
        <f>COUNTIF(Relatorio!C468:C5467,V572)</f>
        <v>0</v>
      </c>
      <c r="AC572" s="5"/>
    </row>
    <row r="573" spans="21:29" x14ac:dyDescent="0.3">
      <c r="U573" s="1">
        <f>COUNTIF(Relatorio!C469:C5468,V573)</f>
        <v>0</v>
      </c>
      <c r="AC573" s="5"/>
    </row>
    <row r="574" spans="21:29" x14ac:dyDescent="0.3">
      <c r="U574" s="1">
        <f>COUNTIF(Relatorio!C470:C5469,V574)</f>
        <v>0</v>
      </c>
      <c r="AC574" s="5"/>
    </row>
    <row r="575" spans="21:29" x14ac:dyDescent="0.3">
      <c r="U575" s="1">
        <f>COUNTIF(Relatorio!C471:C5470,V575)</f>
        <v>0</v>
      </c>
      <c r="AC575" s="5"/>
    </row>
    <row r="576" spans="21:29" x14ac:dyDescent="0.3">
      <c r="U576" s="1">
        <f>COUNTIF(Relatorio!C472:C5471,V576)</f>
        <v>0</v>
      </c>
      <c r="AC576" s="5"/>
    </row>
    <row r="577" spans="21:29" x14ac:dyDescent="0.3">
      <c r="U577" s="1">
        <f>COUNTIF(Relatorio!C473:C5472,V577)</f>
        <v>0</v>
      </c>
      <c r="AC577" s="5"/>
    </row>
    <row r="578" spans="21:29" x14ac:dyDescent="0.3">
      <c r="U578" s="1">
        <f>COUNTIF(Relatorio!C474:C5473,V578)</f>
        <v>0</v>
      </c>
      <c r="AC578" s="5"/>
    </row>
    <row r="579" spans="21:29" x14ac:dyDescent="0.3">
      <c r="U579" s="1">
        <f>COUNTIF(Relatorio!C475:C5474,V579)</f>
        <v>0</v>
      </c>
      <c r="AC579" s="5"/>
    </row>
    <row r="580" spans="21:29" x14ac:dyDescent="0.3">
      <c r="U580" s="1">
        <f>COUNTIF(Relatorio!C476:C5475,V580)</f>
        <v>0</v>
      </c>
      <c r="AC580" s="5"/>
    </row>
    <row r="581" spans="21:29" x14ac:dyDescent="0.3">
      <c r="U581" s="1">
        <f>COUNTIF(Relatorio!C477:C5476,V581)</f>
        <v>0</v>
      </c>
      <c r="AC581" s="5"/>
    </row>
    <row r="582" spans="21:29" x14ac:dyDescent="0.3">
      <c r="U582" s="1">
        <f>COUNTIF(Relatorio!C478:C5477,V582)</f>
        <v>0</v>
      </c>
      <c r="AC582" s="5"/>
    </row>
    <row r="583" spans="21:29" x14ac:dyDescent="0.3">
      <c r="U583" s="1">
        <f>COUNTIF(Relatorio!C479:C5478,V583)</f>
        <v>0</v>
      </c>
      <c r="AC583" s="5"/>
    </row>
    <row r="584" spans="21:29" x14ac:dyDescent="0.3">
      <c r="U584" s="1">
        <f>COUNTIF(Relatorio!C480:C5479,V584)</f>
        <v>0</v>
      </c>
      <c r="AC584" s="5"/>
    </row>
    <row r="585" spans="21:29" x14ac:dyDescent="0.3">
      <c r="U585" s="1">
        <f>COUNTIF(Relatorio!C481:C5480,V585)</f>
        <v>0</v>
      </c>
      <c r="AC585" s="5"/>
    </row>
    <row r="586" spans="21:29" x14ac:dyDescent="0.3">
      <c r="U586" s="1">
        <f>COUNTIF(Relatorio!C482:C5481,V586)</f>
        <v>0</v>
      </c>
      <c r="AC586" s="5"/>
    </row>
    <row r="587" spans="21:29" x14ac:dyDescent="0.3">
      <c r="U587" s="1">
        <f>COUNTIF(Relatorio!C483:C5482,V587)</f>
        <v>0</v>
      </c>
      <c r="AC587" s="5"/>
    </row>
    <row r="588" spans="21:29" x14ac:dyDescent="0.3">
      <c r="U588" s="1">
        <f>COUNTIF(Relatorio!C484:C5483,V588)</f>
        <v>0</v>
      </c>
      <c r="AC588" s="5"/>
    </row>
    <row r="589" spans="21:29" x14ac:dyDescent="0.3">
      <c r="U589" s="1">
        <f>COUNTIF(Relatorio!C485:C5484,V589)</f>
        <v>0</v>
      </c>
      <c r="AC589" s="5"/>
    </row>
    <row r="590" spans="21:29" x14ac:dyDescent="0.3">
      <c r="U590" s="1">
        <f>COUNTIF(Relatorio!C486:C5485,V590)</f>
        <v>0</v>
      </c>
      <c r="AC590" s="5"/>
    </row>
    <row r="591" spans="21:29" x14ac:dyDescent="0.3">
      <c r="U591" s="1">
        <f>COUNTIF(Relatorio!C487:C5486,V591)</f>
        <v>0</v>
      </c>
      <c r="AC591" s="5"/>
    </row>
    <row r="592" spans="21:29" x14ac:dyDescent="0.3">
      <c r="U592" s="1">
        <f>COUNTIF(Relatorio!C488:C5487,V592)</f>
        <v>0</v>
      </c>
      <c r="AC592" s="5"/>
    </row>
    <row r="593" spans="21:29" x14ac:dyDescent="0.3">
      <c r="U593" s="1">
        <f>COUNTIF(Relatorio!C489:C5488,V593)</f>
        <v>0</v>
      </c>
      <c r="AC593" s="5"/>
    </row>
    <row r="594" spans="21:29" x14ac:dyDescent="0.3">
      <c r="U594" s="1">
        <f>COUNTIF(Relatorio!C490:C5489,V594)</f>
        <v>0</v>
      </c>
      <c r="AC594" s="5"/>
    </row>
    <row r="595" spans="21:29" x14ac:dyDescent="0.3">
      <c r="U595" s="1">
        <f>COUNTIF(Relatorio!C491:C5490,V595)</f>
        <v>0</v>
      </c>
      <c r="AC595" s="5"/>
    </row>
    <row r="596" spans="21:29" x14ac:dyDescent="0.3">
      <c r="U596" s="1">
        <f>COUNTIF(Relatorio!C492:C5491,V596)</f>
        <v>0</v>
      </c>
      <c r="AC596" s="5"/>
    </row>
    <row r="597" spans="21:29" x14ac:dyDescent="0.3">
      <c r="U597" s="1">
        <f>COUNTIF(Relatorio!C493:C5492,V597)</f>
        <v>0</v>
      </c>
      <c r="AC597" s="5"/>
    </row>
    <row r="598" spans="21:29" x14ac:dyDescent="0.3">
      <c r="U598" s="1">
        <f>COUNTIF(Relatorio!C494:C5493,V598)</f>
        <v>0</v>
      </c>
      <c r="AC598" s="5"/>
    </row>
    <row r="599" spans="21:29" x14ac:dyDescent="0.3">
      <c r="U599" s="1">
        <f>COUNTIF(Relatorio!C495:C5494,V599)</f>
        <v>0</v>
      </c>
      <c r="AC599" s="5"/>
    </row>
    <row r="600" spans="21:29" x14ac:dyDescent="0.3">
      <c r="AC600" s="5"/>
    </row>
    <row r="601" spans="21:29" x14ac:dyDescent="0.3">
      <c r="AC601" s="5"/>
    </row>
    <row r="602" spans="21:29" x14ac:dyDescent="0.3">
      <c r="AC602" s="5"/>
    </row>
    <row r="603" spans="21:29" x14ac:dyDescent="0.3">
      <c r="AC603" s="5"/>
    </row>
    <row r="604" spans="21:29" x14ac:dyDescent="0.3">
      <c r="AC604" s="5"/>
    </row>
    <row r="605" spans="21:29" x14ac:dyDescent="0.3">
      <c r="AC605" s="5"/>
    </row>
    <row r="606" spans="21:29" x14ac:dyDescent="0.3">
      <c r="AC606" s="5"/>
    </row>
    <row r="607" spans="21:29" x14ac:dyDescent="0.3">
      <c r="AC607" s="5"/>
    </row>
    <row r="608" spans="21:29" x14ac:dyDescent="0.3">
      <c r="AC608" s="5"/>
    </row>
    <row r="609" spans="29:29" x14ac:dyDescent="0.3">
      <c r="AC609" s="5"/>
    </row>
    <row r="610" spans="29:29" x14ac:dyDescent="0.3">
      <c r="AC610" s="5"/>
    </row>
    <row r="611" spans="29:29" x14ac:dyDescent="0.3">
      <c r="AC611" s="5"/>
    </row>
    <row r="612" spans="29:29" x14ac:dyDescent="0.3">
      <c r="AC612" s="5"/>
    </row>
    <row r="613" spans="29:29" x14ac:dyDescent="0.3">
      <c r="AC613" s="5"/>
    </row>
    <row r="614" spans="29:29" x14ac:dyDescent="0.3">
      <c r="AC614" s="5"/>
    </row>
    <row r="615" spans="29:29" x14ac:dyDescent="0.3">
      <c r="AC615" s="5"/>
    </row>
  </sheetData>
  <mergeCells count="4">
    <mergeCell ref="AE22:AK22"/>
    <mergeCell ref="B14:D14"/>
    <mergeCell ref="B13:D13"/>
    <mergeCell ref="AE7:AK7"/>
  </mergeCells>
  <phoneticPr fontId="2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BC2A6F-487F-4FCE-8C9B-91688CD2A5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Dash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Silva</dc:creator>
  <cp:lastModifiedBy>Wanderson Silva</cp:lastModifiedBy>
  <dcterms:created xsi:type="dcterms:W3CDTF">2024-11-29T05:21:37Z</dcterms:created>
  <dcterms:modified xsi:type="dcterms:W3CDTF">2024-12-09T01:59:30Z</dcterms:modified>
</cp:coreProperties>
</file>