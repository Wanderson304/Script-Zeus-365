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E:\Script-Zeus\ETL\01_crg_sharepoint\01_Report_todos_os_sites\"/>
    </mc:Choice>
  </mc:AlternateContent>
  <xr:revisionPtr revIDLastSave="0" documentId="13_ncr:1_{9AC64928-0217-4C69-A01B-0DA3AC8714AB}" xr6:coauthVersionLast="47" xr6:coauthVersionMax="47" xr10:uidLastSave="{00000000-0000-0000-0000-000000000000}"/>
  <bookViews>
    <workbookView xWindow="28680" yWindow="-120" windowWidth="29040" windowHeight="15840" xr2:uid="{B3AADE74-7B98-484D-83AC-DA3705B93538}"/>
  </bookViews>
  <sheets>
    <sheet name="Relatorio" sheetId="2" r:id="rId1"/>
    <sheet name="Dash" sheetId="1" r:id="rId2"/>
    <sheet name="Config" sheetId="3" r:id="rId3"/>
  </sheets>
  <definedNames>
    <definedName name="DadosExternos_1" localSheetId="0" hidden="1">Relatorio!$A$1:$BY$12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3" l="1"/>
  <c r="C13" i="3"/>
  <c r="C12" i="3"/>
  <c r="G22" i="3"/>
  <c r="I22" i="3" s="1"/>
  <c r="G23" i="3"/>
  <c r="I23" i="3" s="1"/>
  <c r="G24" i="3"/>
  <c r="I24" i="3" s="1"/>
  <c r="G25" i="3"/>
  <c r="I25" i="3" s="1"/>
  <c r="G21" i="3"/>
  <c r="I21" i="3" s="1"/>
  <c r="B25" i="3"/>
  <c r="B22" i="3"/>
  <c r="B23" i="3"/>
  <c r="B24" i="3"/>
  <c r="B21" i="3"/>
  <c r="C15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56C5F9-E4AC-4581-9886-7B1F780EFD79}" keepAlive="1" name="Consulta - tbl_sharepoint_todos_os_sites" description="Conexão com a consulta 'tbl_sharepoint_todos_os_sites' na pasta de trabalho." type="5" refreshedVersion="8" background="1" saveData="1">
    <dbPr connection="Provider=Microsoft.Mashup.OleDb.1;Data Source=$Workbook$;Location=tbl_sharepoint_todos_os_sites;Extended Properties=&quot;&quot;" command="SELECT * FROM [tbl_sharepoint_todos_os_sites]"/>
  </connection>
</connections>
</file>

<file path=xl/sharedStrings.xml><?xml version="1.0" encoding="utf-8"?>
<sst xmlns="http://schemas.openxmlformats.org/spreadsheetml/2006/main" count="930" uniqueCount="162">
  <si>
    <t>Nome</t>
  </si>
  <si>
    <t>Url</t>
  </si>
  <si>
    <t>Status</t>
  </si>
  <si>
    <t>BonusDiskQuota</t>
  </si>
  <si>
    <t>StorageUsageCurrent</t>
  </si>
  <si>
    <t>Pertece a Hub?</t>
  </si>
  <si>
    <t>Owner</t>
  </si>
  <si>
    <t>Storage Cota</t>
  </si>
  <si>
    <t>Storage Maximo</t>
  </si>
  <si>
    <t>ResourceQuota</t>
  </si>
  <si>
    <t>ResourceQuotaWarningLevel</t>
  </si>
  <si>
    <t>Tipo de compartilhamento</t>
  </si>
  <si>
    <t>Active</t>
  </si>
  <si>
    <t/>
  </si>
  <si>
    <t>ExternalUserSharingOnly</t>
  </si>
  <si>
    <t>Disabled</t>
  </si>
  <si>
    <t>All Company</t>
  </si>
  <si>
    <t>Bradesco</t>
  </si>
  <si>
    <t>Nome:</t>
  </si>
  <si>
    <t>Tenant:</t>
  </si>
  <si>
    <t>Cáuculos</t>
  </si>
  <si>
    <t>Total:</t>
  </si>
  <si>
    <t>Ativado</t>
  </si>
  <si>
    <t>Desativado</t>
  </si>
  <si>
    <t>Pouco uso</t>
  </si>
  <si>
    <t>Rank 5 sites com maior armazenamento</t>
  </si>
  <si>
    <t>Storage MB</t>
  </si>
  <si>
    <t>Storage GB</t>
  </si>
  <si>
    <t>Analisar se há sites sem Owner</t>
  </si>
  <si>
    <t>Se existir mais de 20 sites vazios, tenta alinhar para excluir</t>
  </si>
  <si>
    <t>Se existir sites com armazenamento &gt; 2TB verficar se pode</t>
  </si>
  <si>
    <t xml:space="preserve"> liberar espaço apagando a lixeira</t>
  </si>
  <si>
    <t>Tenant-Brasil-2</t>
  </si>
  <si>
    <t>ArchivedBy</t>
  </si>
  <si>
    <t>ArchivedTime</t>
  </si>
  <si>
    <t>RelatedGroupId</t>
  </si>
  <si>
    <t>GroupId</t>
  </si>
  <si>
    <t>LocaleId</t>
  </si>
  <si>
    <t>LockState</t>
  </si>
  <si>
    <t>Template</t>
  </si>
  <si>
    <t>AllowSelfServiceUpgrade</t>
  </si>
  <si>
    <t>DenyAddAndCustomizePages</t>
  </si>
  <si>
    <t>PWAEnabled</t>
  </si>
  <si>
    <t>SiteDefinedSharingCapability</t>
  </si>
  <si>
    <t>SandboxedCodeActivationCapability</t>
  </si>
  <si>
    <t>DisableCompanyWideSharingLinks</t>
  </si>
  <si>
    <t>DisableAppViews</t>
  </si>
  <si>
    <t>DisableFlows</t>
  </si>
  <si>
    <t>AuthenticationContextName</t>
  </si>
  <si>
    <t>StorageQuotaType</t>
  </si>
  <si>
    <t>RestrictedToGeo</t>
  </si>
  <si>
    <t>ShowPeoplePickerSuggestionsForGuestUsers</t>
  </si>
  <si>
    <t>SharingDomainRestrictionMode</t>
  </si>
  <si>
    <t>SharingAllowedDomainList</t>
  </si>
  <si>
    <t>SharingBlockedDomainList</t>
  </si>
  <si>
    <t>ConditionalAccessPolicy</t>
  </si>
  <si>
    <t>AllowDownloadingNonWebViewableFiles</t>
  </si>
  <si>
    <t>LimitedAccessFileType</t>
  </si>
  <si>
    <t>AllowEditing</t>
  </si>
  <si>
    <t>SensitivityLabel</t>
  </si>
  <si>
    <t>CommentsOnSitePagesDisabled</t>
  </si>
  <si>
    <t>SocialBarOnSitePagesDisabled</t>
  </si>
  <si>
    <t>DefaultSharingLinkType</t>
  </si>
  <si>
    <t>DefaultLinkPermission</t>
  </si>
  <si>
    <t>DefaultLinkToExistingAccess</t>
  </si>
  <si>
    <t>AnonymousLinkExpirationInDays</t>
  </si>
  <si>
    <t>OverrideTenantAnonymousLinkExpirationPolicy</t>
  </si>
  <si>
    <t>ExternalUserExpirationInDays</t>
  </si>
  <si>
    <t>OverrideTenantExternalUserExpirationPolicy</t>
  </si>
  <si>
    <t>SharingLockDownEnabled</t>
  </si>
  <si>
    <t>SharingLockDownCanBeCleared</t>
  </si>
  <si>
    <t>InformationSegment</t>
  </si>
  <si>
    <t>InformationBarriersMode</t>
  </si>
  <si>
    <t>BlockDownloadLinksFileType</t>
  </si>
  <si>
    <t>OverrideBlockUserInfoVisibility</t>
  </si>
  <si>
    <t>IsTeamsConnected</t>
  </si>
  <si>
    <t>IsTeamsChannelConnected</t>
  </si>
  <si>
    <t>TeamsChannelType</t>
  </si>
  <si>
    <t>MediaTranscription</t>
  </si>
  <si>
    <t>ExcludedBlockDownloadGroupIds</t>
  </si>
  <si>
    <t>ExcludeBlockDownloadPolicySiteOwners</t>
  </si>
  <si>
    <t>ReadOnlyForBlockDownloadPolicy</t>
  </si>
  <si>
    <t>ExcludeBlockDownloadSharePointGroups</t>
  </si>
  <si>
    <t>BlockDownloadPolicy</t>
  </si>
  <si>
    <t>LoopDefaultSharingLinkScope</t>
  </si>
  <si>
    <t>LoopDefaultSharingLinkRole</t>
  </si>
  <si>
    <t>RequestFilesLinkEnabled</t>
  </si>
  <si>
    <t>RequestFilesLinkExpirationInDays</t>
  </si>
  <si>
    <t>OverrideSharingCapability</t>
  </si>
  <si>
    <t>DefaultShareLinkScope</t>
  </si>
  <si>
    <t>DefaultShareLinkRole</t>
  </si>
  <si>
    <t>BlockGuestsAsSiteAdmin</t>
  </si>
  <si>
    <t>ReadOnlyForUnmanagedDevices</t>
  </si>
  <si>
    <t>RestrictedAccessControl</t>
  </si>
  <si>
    <t>RestrictContentOrgWideSearch</t>
  </si>
  <si>
    <t>AuthenticationContextLimitedAccess</t>
  </si>
  <si>
    <t>RestrictedAccessControlGroups</t>
  </si>
  <si>
    <t>01/01/0001 00:00:00</t>
  </si>
  <si>
    <t>0</t>
  </si>
  <si>
    <t>00000000-0000-0000-0000-000000000000</t>
  </si>
  <si>
    <t>1046</t>
  </si>
  <si>
    <t>Unlock</t>
  </si>
  <si>
    <t>False</t>
  </si>
  <si>
    <t>26214400</t>
  </si>
  <si>
    <t>25574400</t>
  </si>
  <si>
    <t>300</t>
  </si>
  <si>
    <t>SITEPAGEPUBLISHING#0</t>
  </si>
  <si>
    <t>200</t>
  </si>
  <si>
    <t>True</t>
  </si>
  <si>
    <t>Enabled</t>
  </si>
  <si>
    <t>Unknown</t>
  </si>
  <si>
    <t>None</t>
  </si>
  <si>
    <t>AllowFullAccess</t>
  </si>
  <si>
    <t>OfficeOnlineFilesOnly</t>
  </si>
  <si>
    <t>OrganizationDefault</t>
  </si>
  <si>
    <t>System.Guid[]</t>
  </si>
  <si>
    <t>System.String[]</t>
  </si>
  <si>
    <t>Anyone</t>
  </si>
  <si>
    <t>Unspecified</t>
  </si>
  <si>
    <t>1033</t>
  </si>
  <si>
    <t>255</t>
  </si>
  <si>
    <t>ExternalUserAndGuestSharing</t>
  </si>
  <si>
    <t>GROUP#0</t>
  </si>
  <si>
    <t>SRCHCEN#0</t>
  </si>
  <si>
    <t>SPSMSITEHOST#0</t>
  </si>
  <si>
    <t>Data Criação</t>
  </si>
  <si>
    <t>Portal TIVIT</t>
  </si>
  <si>
    <t>https://empresaxyz00.sharepoint.com/sites/portaltivit</t>
  </si>
  <si>
    <t>wanderson.silva@contactpoint.com.br</t>
  </si>
  <si>
    <t>17/11/2024 02:11:40</t>
  </si>
  <si>
    <t>B2 Investimentos</t>
  </si>
  <si>
    <t>https://empresaxyz00.sharepoint.com/</t>
  </si>
  <si>
    <t>17/07/2023 22:02:10</t>
  </si>
  <si>
    <t>SitePagePublishing#0</t>
  </si>
  <si>
    <t>W&amp;S Operacional</t>
  </si>
  <si>
    <t>https://empresaxyz00.sharepoint.com/sites/WSOperacional</t>
  </si>
  <si>
    <t>410837</t>
  </si>
  <si>
    <t>05/08/2023 05:02:55</t>
  </si>
  <si>
    <t>Teste Site Públic</t>
  </si>
  <si>
    <t>https://empresaxyz00.sharepoint.com/sites/TesteSitePblic</t>
  </si>
  <si>
    <t>11/07/2024 05:28:34</t>
  </si>
  <si>
    <t>4635da4f-a6c7-4344-ac3a-1c564a70e35a</t>
  </si>
  <si>
    <t>|</t>
  </si>
  <si>
    <t>https://empresaxyz00.sharepoint.com/sites/sitemcdonalds</t>
  </si>
  <si>
    <t>26/05/2024 19:13:17</t>
  </si>
  <si>
    <t>W&amp;S Data</t>
  </si>
  <si>
    <t>https://empresaxyz00.sharepoint.com/sites/wesdata</t>
  </si>
  <si>
    <t>55458</t>
  </si>
  <si>
    <t>30/05/2024 06:29:05</t>
  </si>
  <si>
    <t>McDonald's - Operação Brasil</t>
  </si>
  <si>
    <t>https://empresaxyz00.sharepoint.com/sites/operaomcdonalds</t>
  </si>
  <si>
    <t>29/03/2024 01:59:36</t>
  </si>
  <si>
    <t>Repositorio bancos Power Apps</t>
  </si>
  <si>
    <t>https://empresaxyz00.sharepoint.com/sites/RepositoriobancosPowerApps</t>
  </si>
  <si>
    <t>23/06/2024 07:13:50</t>
  </si>
  <si>
    <t>https://empresaxyz00.sharepoint.com/search</t>
  </si>
  <si>
    <t>17/07/2023 22:03:10</t>
  </si>
  <si>
    <t>https://empresaxyz00-my.sharepoint.com/</t>
  </si>
  <si>
    <t>17/07/2023 22:02:09</t>
  </si>
  <si>
    <t>https://empresaxyz00.sharepoint.com/sites/allcompany74</t>
  </si>
  <si>
    <t>17/07/2023 22:06:28</t>
  </si>
  <si>
    <t>41532425-3251-4dab-bb23-32d940d72efc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</si>
</sst>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2" borderId="0" xfId="0" applyFont="1" applyFill="1"/>
    <xf numFmtId="0" fontId="0" fillId="3" borderId="0" xfId="0" applyFill="1"/>
    <xf numFmtId="2" fontId="0" fillId="0" borderId="0" xfId="0" applyNumberFormat="1"/>
  </cellXfs>
  <cellStyles count="1">
    <cellStyle name="Normal" xfId="0" builtinId="0"/>
  </cellStyles>
  <dxfs count="7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Rank</a:t>
            </a:r>
            <a:r>
              <a:rPr lang="pt-BR" baseline="0">
                <a:solidFill>
                  <a:schemeClr val="bg1"/>
                </a:solidFill>
              </a:rPr>
              <a:t> 5 sites com maior Storage / GB</a:t>
            </a:r>
            <a:endParaRPr lang="pt-BR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6"/>
          <c:order val="6"/>
          <c:tx>
            <c:strRef>
              <c:f>Config!$I$20</c:f>
              <c:strCache>
                <c:ptCount val="1"/>
                <c:pt idx="0">
                  <c:v>Storage GB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Config!$B$21:$B$25</c:f>
              <c:strCache>
                <c:ptCount val="5"/>
                <c:pt idx="0">
                  <c:v>W&amp;S Operacional</c:v>
                </c:pt>
                <c:pt idx="1">
                  <c:v>B2 Investimentos</c:v>
                </c:pt>
                <c:pt idx="2">
                  <c:v>McDonald's - Operação Brasil</c:v>
                </c:pt>
                <c:pt idx="3">
                  <c:v>Portal TIVIT</c:v>
                </c:pt>
                <c:pt idx="4">
                  <c:v>Teste Site Públic</c:v>
                </c:pt>
              </c:strCache>
            </c:strRef>
          </c:cat>
          <c:val>
            <c:numRef>
              <c:f>Config!$I$21:$I$25</c:f>
              <c:numCache>
                <c:formatCode>General</c:formatCode>
                <c:ptCount val="5"/>
                <c:pt idx="0">
                  <c:v>6.884765625</c:v>
                </c:pt>
                <c:pt idx="1">
                  <c:v>7.8125E-2</c:v>
                </c:pt>
                <c:pt idx="2">
                  <c:v>2.83203125E-2</c:v>
                </c:pt>
                <c:pt idx="3">
                  <c:v>8.7890625E-3</c:v>
                </c:pt>
                <c:pt idx="4">
                  <c:v>2.9296875E-3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4F-4562-9A3B-B2A6CCE5807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86852016"/>
        <c:axId val="128685249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Config!$C$20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Config!$B$21:$B$25</c15:sqref>
                        </c15:formulaRef>
                      </c:ext>
                    </c:extLst>
                    <c:strCache>
                      <c:ptCount val="5"/>
                      <c:pt idx="0">
                        <c:v>W&amp;S Operacional</c:v>
                      </c:pt>
                      <c:pt idx="1">
                        <c:v>B2 Investimentos</c:v>
                      </c:pt>
                      <c:pt idx="2">
                        <c:v>McDonald's - Operação Brasil</c:v>
                      </c:pt>
                      <c:pt idx="3">
                        <c:v>Portal TIVIT</c:v>
                      </c:pt>
                      <c:pt idx="4">
                        <c:v>Teste Site Públic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Config!$C$21:$C$25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34F-4562-9A3B-B2A6CCE58078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Config!$D$20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Config!$B$21:$B$25</c15:sqref>
                        </c15:formulaRef>
                      </c:ext>
                    </c:extLst>
                    <c:strCache>
                      <c:ptCount val="5"/>
                      <c:pt idx="0">
                        <c:v>W&amp;S Operacional</c:v>
                      </c:pt>
                      <c:pt idx="1">
                        <c:v>B2 Investimentos</c:v>
                      </c:pt>
                      <c:pt idx="2">
                        <c:v>McDonald's - Operação Brasil</c:v>
                      </c:pt>
                      <c:pt idx="3">
                        <c:v>Portal TIVIT</c:v>
                      </c:pt>
                      <c:pt idx="4">
                        <c:v>Teste Site Públic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Config!$D$21:$D$25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34F-4562-9A3B-B2A6CCE58078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Config!$B$21:$B$25</c15:sqref>
                        </c15:formulaRef>
                      </c:ext>
                    </c:extLst>
                    <c:strCache>
                      <c:ptCount val="5"/>
                      <c:pt idx="0">
                        <c:v>W&amp;S Operacional</c:v>
                      </c:pt>
                      <c:pt idx="1">
                        <c:v>B2 Investimentos</c:v>
                      </c:pt>
                      <c:pt idx="2">
                        <c:v>McDonald's - Operação Brasil</c:v>
                      </c:pt>
                      <c:pt idx="3">
                        <c:v>Portal TIVIT</c:v>
                      </c:pt>
                      <c:pt idx="4">
                        <c:v>Teste Site Públic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Config!$E$21:$E$25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34F-4562-9A3B-B2A6CCE58078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Config!$F$20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Config!$B$21:$B$25</c15:sqref>
                        </c15:formulaRef>
                      </c:ext>
                    </c:extLst>
                    <c:strCache>
                      <c:ptCount val="5"/>
                      <c:pt idx="0">
                        <c:v>W&amp;S Operacional</c:v>
                      </c:pt>
                      <c:pt idx="1">
                        <c:v>B2 Investimentos</c:v>
                      </c:pt>
                      <c:pt idx="2">
                        <c:v>McDonald's - Operação Brasil</c:v>
                      </c:pt>
                      <c:pt idx="3">
                        <c:v>Portal TIVIT</c:v>
                      </c:pt>
                      <c:pt idx="4">
                        <c:v>Teste Site Públic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Config!$F$21:$F$25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34F-4562-9A3B-B2A6CCE58078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Config!$G$20</c15:sqref>
                        </c15:formulaRef>
                      </c:ext>
                    </c:extLst>
                    <c:strCache>
                      <c:ptCount val="1"/>
                      <c:pt idx="0">
                        <c:v>Storage MB</c:v>
                      </c:pt>
                    </c:strCache>
                  </c:strRef>
                </c:tx>
                <c:spPr>
                  <a:solidFill>
                    <a:srgbClr val="FF0000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1" i="0" u="none" strike="noStrike" kern="1200" baseline="0">
                          <a:solidFill>
                            <a:schemeClr val="bg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Config!$B$21:$B$25</c15:sqref>
                        </c15:formulaRef>
                      </c:ext>
                    </c:extLst>
                    <c:strCache>
                      <c:ptCount val="5"/>
                      <c:pt idx="0">
                        <c:v>W&amp;S Operacional</c:v>
                      </c:pt>
                      <c:pt idx="1">
                        <c:v>B2 Investimentos</c:v>
                      </c:pt>
                      <c:pt idx="2">
                        <c:v>McDonald's - Operação Brasil</c:v>
                      </c:pt>
                      <c:pt idx="3">
                        <c:v>Portal TIVIT</c:v>
                      </c:pt>
                      <c:pt idx="4">
                        <c:v>Teste Site Públic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Config!$G$21:$G$25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7050</c:v>
                      </c:pt>
                      <c:pt idx="1">
                        <c:v>80</c:v>
                      </c:pt>
                      <c:pt idx="2">
                        <c:v>29</c:v>
                      </c:pt>
                      <c:pt idx="3">
                        <c:v>9</c:v>
                      </c:pt>
                      <c:pt idx="4">
                        <c:v>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534F-4562-9A3B-B2A6CCE58078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Config!$H$20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Config!$B$21:$B$25</c15:sqref>
                        </c15:formulaRef>
                      </c:ext>
                    </c:extLst>
                    <c:strCache>
                      <c:ptCount val="5"/>
                      <c:pt idx="0">
                        <c:v>W&amp;S Operacional</c:v>
                      </c:pt>
                      <c:pt idx="1">
                        <c:v>B2 Investimentos</c:v>
                      </c:pt>
                      <c:pt idx="2">
                        <c:v>McDonald's - Operação Brasil</c:v>
                      </c:pt>
                      <c:pt idx="3">
                        <c:v>Portal TIVIT</c:v>
                      </c:pt>
                      <c:pt idx="4">
                        <c:v>Teste Site Públic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Config!$H$21:$H$25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34F-4562-9A3B-B2A6CCE58078}"/>
                  </c:ext>
                </c:extLst>
              </c15:ser>
            </c15:filteredBarSeries>
          </c:ext>
        </c:extLst>
      </c:barChart>
      <c:catAx>
        <c:axId val="1286852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6852496"/>
        <c:crosses val="autoZero"/>
        <c:auto val="1"/>
        <c:lblAlgn val="ctr"/>
        <c:lblOffset val="100"/>
        <c:noMultiLvlLbl val="0"/>
      </c:catAx>
      <c:valAx>
        <c:axId val="12868524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868520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50000"/>
        <a:lumOff val="5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168063</xdr:colOff>
      <xdr:row>1</xdr:row>
      <xdr:rowOff>93345</xdr:rowOff>
    </xdr:from>
    <xdr:to>
      <xdr:col>25</xdr:col>
      <xdr:colOff>284268</xdr:colOff>
      <xdr:row>2</xdr:row>
      <xdr:rowOff>169545</xdr:rowOff>
    </xdr:to>
    <xdr:sp macro="[0]!update" textlink="">
      <xdr:nvSpPr>
        <xdr:cNvPr id="8" name="Retângulo 7">
          <a:extLst>
            <a:ext uri="{FF2B5EF4-FFF2-40B4-BE49-F238E27FC236}">
              <a16:creationId xmlns:a16="http://schemas.microsoft.com/office/drawing/2014/main" id="{FB33B53A-8CD8-DA16-BE39-8B4B13D96E9D}"/>
            </a:ext>
          </a:extLst>
        </xdr:cNvPr>
        <xdr:cNvSpPr/>
      </xdr:nvSpPr>
      <xdr:spPr>
        <a:xfrm>
          <a:off x="13891471" y="287232"/>
          <a:ext cx="1360170" cy="311996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ATUALIZAR</a:t>
          </a:r>
        </a:p>
      </xdr:txBody>
    </xdr:sp>
    <xdr:clientData/>
  </xdr:twoCellAnchor>
  <xdr:twoCellAnchor editAs="absolute">
    <xdr:from>
      <xdr:col>20</xdr:col>
      <xdr:colOff>551181</xdr:colOff>
      <xdr:row>1</xdr:row>
      <xdr:rowOff>94826</xdr:rowOff>
    </xdr:from>
    <xdr:to>
      <xdr:col>23</xdr:col>
      <xdr:colOff>76200</xdr:colOff>
      <xdr:row>3</xdr:row>
      <xdr:rowOff>1058</xdr:rowOff>
    </xdr:to>
    <xdr:sp macro="[0]!RELATORIOS" textlink="">
      <xdr:nvSpPr>
        <xdr:cNvPr id="20" name="Retângulo 19">
          <a:extLst>
            <a:ext uri="{FF2B5EF4-FFF2-40B4-BE49-F238E27FC236}">
              <a16:creationId xmlns:a16="http://schemas.microsoft.com/office/drawing/2014/main" id="{88378377-F819-10E5-FC89-D4ED6ED99095}"/>
            </a:ext>
          </a:extLst>
        </xdr:cNvPr>
        <xdr:cNvSpPr/>
      </xdr:nvSpPr>
      <xdr:spPr>
        <a:xfrm>
          <a:off x="12462934" y="296333"/>
          <a:ext cx="1346199" cy="3048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RELATÓRIO</a:t>
          </a:r>
        </a:p>
      </xdr:txBody>
    </xdr:sp>
    <xdr:clientData/>
  </xdr:twoCellAnchor>
  <xdr:twoCellAnchor>
    <xdr:from>
      <xdr:col>2</xdr:col>
      <xdr:colOff>31751</xdr:colOff>
      <xdr:row>4</xdr:row>
      <xdr:rowOff>38523</xdr:rowOff>
    </xdr:from>
    <xdr:to>
      <xdr:col>2</xdr:col>
      <xdr:colOff>535941</xdr:colOff>
      <xdr:row>5</xdr:row>
      <xdr:rowOff>123189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150242A6-D3C2-4F41-87E2-F29C36DE60CA}"/>
            </a:ext>
          </a:extLst>
        </xdr:cNvPr>
        <xdr:cNvSpPr txBox="1"/>
      </xdr:nvSpPr>
      <xdr:spPr>
        <a:xfrm>
          <a:off x="1259418" y="768773"/>
          <a:ext cx="504190" cy="2751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400" b="0" i="0" u="none" strike="noStrike" kern="1200">
              <a:solidFill>
                <a:srgbClr val="FFFFFF"/>
              </a:solidFill>
              <a:latin typeface="Aptos Narrow"/>
            </a:rPr>
            <a:t>|</a:t>
          </a:r>
        </a:p>
      </xdr:txBody>
    </xdr:sp>
    <xdr:clientData/>
  </xdr:twoCellAnchor>
  <xdr:twoCellAnchor>
    <xdr:from>
      <xdr:col>0</xdr:col>
      <xdr:colOff>516680</xdr:colOff>
      <xdr:row>2</xdr:row>
      <xdr:rowOff>19050</xdr:rowOff>
    </xdr:from>
    <xdr:to>
      <xdr:col>7</xdr:col>
      <xdr:colOff>571500</xdr:colOff>
      <xdr:row>5</xdr:row>
      <xdr:rowOff>149015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DDC5B0F0-A803-A61A-266A-05E81E41ADF5}"/>
            </a:ext>
          </a:extLst>
        </xdr:cNvPr>
        <xdr:cNvGrpSpPr/>
      </xdr:nvGrpSpPr>
      <xdr:grpSpPr>
        <a:xfrm>
          <a:off x="512870" y="375073"/>
          <a:ext cx="4069713" cy="694692"/>
          <a:chOff x="512870" y="375073"/>
          <a:chExt cx="4069713" cy="694692"/>
        </a:xfrm>
      </xdr:grpSpPr>
      <xdr:sp macro="" textlink="Config!C6">
        <xdr:nvSpPr>
          <xdr:cNvPr id="2" name="CaixaDeTexto 1">
            <a:extLst>
              <a:ext uri="{FF2B5EF4-FFF2-40B4-BE49-F238E27FC236}">
                <a16:creationId xmlns:a16="http://schemas.microsoft.com/office/drawing/2014/main" id="{6001E95A-3034-476E-BAF4-F34F00D63D2B}"/>
              </a:ext>
            </a:extLst>
          </xdr:cNvPr>
          <xdr:cNvSpPr txBox="1"/>
        </xdr:nvSpPr>
        <xdr:spPr>
          <a:xfrm>
            <a:off x="512870" y="767715"/>
            <a:ext cx="99102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FAC386B3-E0E1-442F-96BC-40772865F634}" type="TxLink">
              <a:rPr lang="en-US" sz="1400" b="0" i="0" u="none" strike="noStrike" kern="1200">
                <a:solidFill>
                  <a:srgbClr val="FFFFFF"/>
                </a:solidFill>
                <a:latin typeface="Aptos Narrow"/>
              </a:rPr>
              <a:pPr/>
              <a:t>Bradesco</a:t>
            </a:fld>
            <a:endParaRPr lang="pt-BR" sz="1800" b="1" kern="1200">
              <a:solidFill>
                <a:schemeClr val="bg1"/>
              </a:solidFill>
            </a:endParaRPr>
          </a:p>
        </xdr:txBody>
      </xdr:sp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F8B6EAFB-298F-435D-8674-D21524F76658}"/>
              </a:ext>
            </a:extLst>
          </xdr:cNvPr>
          <xdr:cNvSpPr txBox="1"/>
        </xdr:nvSpPr>
        <xdr:spPr>
          <a:xfrm>
            <a:off x="516256" y="375073"/>
            <a:ext cx="4066327" cy="2999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800" b="1" kern="1200">
                <a:solidFill>
                  <a:schemeClr val="bg1"/>
                </a:solidFill>
              </a:rPr>
              <a:t>TODOS</a:t>
            </a:r>
            <a:r>
              <a:rPr lang="pt-BR" sz="1800" b="1" kern="1200" baseline="0">
                <a:solidFill>
                  <a:schemeClr val="bg1"/>
                </a:solidFill>
              </a:rPr>
              <a:t> OS SITES DO SHAREPOINT </a:t>
            </a:r>
            <a:endParaRPr lang="pt-BR" sz="1800" b="1" kern="1200">
              <a:solidFill>
                <a:schemeClr val="bg1"/>
              </a:solidFill>
            </a:endParaRPr>
          </a:p>
        </xdr:txBody>
      </xdr:sp>
      <xdr:sp macro="" textlink="Config!C7">
        <xdr:nvSpPr>
          <xdr:cNvPr id="4" name="CaixaDeTexto 3">
            <a:extLst>
              <a:ext uri="{FF2B5EF4-FFF2-40B4-BE49-F238E27FC236}">
                <a16:creationId xmlns:a16="http://schemas.microsoft.com/office/drawing/2014/main" id="{143D6BA5-6891-481D-8C46-EA31BCE904FB}"/>
              </a:ext>
            </a:extLst>
          </xdr:cNvPr>
          <xdr:cNvSpPr txBox="1"/>
        </xdr:nvSpPr>
        <xdr:spPr>
          <a:xfrm>
            <a:off x="2042583" y="767715"/>
            <a:ext cx="132778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935E51B1-9F0E-46BA-9888-FD44A03C5751}" type="TxLink">
              <a:rPr lang="en-US" sz="1400" b="0" i="0" u="none" strike="noStrike" kern="1200">
                <a:solidFill>
                  <a:srgbClr val="FFFFFF"/>
                </a:solidFill>
                <a:latin typeface="Aptos Narrow"/>
              </a:rPr>
              <a:pPr/>
              <a:t>Tenant-Brasil-2</a:t>
            </a:fld>
            <a:endParaRPr lang="en-US" sz="1400" b="0" i="0" u="none" strike="noStrike" kern="1200">
              <a:solidFill>
                <a:srgbClr val="FFFFFF"/>
              </a:solidFill>
              <a:latin typeface="Aptos Narrow"/>
            </a:endParaRPr>
          </a:p>
        </xdr:txBody>
      </xdr:sp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3699F57A-83AE-4BE4-B0BA-07C2D22AD777}"/>
              </a:ext>
            </a:extLst>
          </xdr:cNvPr>
          <xdr:cNvSpPr txBox="1"/>
        </xdr:nvSpPr>
        <xdr:spPr>
          <a:xfrm>
            <a:off x="1398058" y="780205"/>
            <a:ext cx="1343025" cy="2895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1400" b="0" i="0" u="none" strike="noStrike" kern="1200">
                <a:solidFill>
                  <a:srgbClr val="FFFFFF"/>
                </a:solidFill>
                <a:latin typeface="Aptos Narrow"/>
              </a:rPr>
              <a:t>Tenant:</a:t>
            </a:r>
          </a:p>
        </xdr:txBody>
      </xdr:sp>
    </xdr:grpSp>
    <xdr:clientData/>
  </xdr:twoCellAnchor>
  <xdr:twoCellAnchor editAs="absolute">
    <xdr:from>
      <xdr:col>25</xdr:col>
      <xdr:colOff>397721</xdr:colOff>
      <xdr:row>1</xdr:row>
      <xdr:rowOff>112183</xdr:rowOff>
    </xdr:from>
    <xdr:to>
      <xdr:col>27</xdr:col>
      <xdr:colOff>531070</xdr:colOff>
      <xdr:row>3</xdr:row>
      <xdr:rowOff>15240</xdr:rowOff>
    </xdr:to>
    <xdr:sp macro="[0]!config_org" textlink="">
      <xdr:nvSpPr>
        <xdr:cNvPr id="11" name="Retângulo 10">
          <a:extLst>
            <a:ext uri="{FF2B5EF4-FFF2-40B4-BE49-F238E27FC236}">
              <a16:creationId xmlns:a16="http://schemas.microsoft.com/office/drawing/2014/main" id="{D804D78E-ABB0-4C4A-951E-F629027CF6B4}"/>
            </a:ext>
          </a:extLst>
        </xdr:cNvPr>
        <xdr:cNvSpPr/>
      </xdr:nvSpPr>
      <xdr:spPr>
        <a:xfrm>
          <a:off x="15461614" y="292100"/>
          <a:ext cx="1357206" cy="25146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ORGANIZAÇÃO</a:t>
          </a:r>
        </a:p>
      </xdr:txBody>
    </xdr:sp>
    <xdr:clientData/>
  </xdr:twoCellAnchor>
  <xdr:twoCellAnchor editAs="absolute">
    <xdr:from>
      <xdr:col>8</xdr:col>
      <xdr:colOff>19259</xdr:colOff>
      <xdr:row>5</xdr:row>
      <xdr:rowOff>53975</xdr:rowOff>
    </xdr:from>
    <xdr:to>
      <xdr:col>11</xdr:col>
      <xdr:colOff>193249</xdr:colOff>
      <xdr:row>17</xdr:row>
      <xdr:rowOff>177799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17331860-D28B-6273-A89A-3CCEF9826693}"/>
            </a:ext>
          </a:extLst>
        </xdr:cNvPr>
        <xdr:cNvGrpSpPr/>
      </xdr:nvGrpSpPr>
      <xdr:grpSpPr>
        <a:xfrm>
          <a:off x="4640366" y="978535"/>
          <a:ext cx="2019300" cy="2402204"/>
          <a:chOff x="4989616" y="978535"/>
          <a:chExt cx="2017395" cy="2396489"/>
        </a:xfrm>
      </xdr:grpSpPr>
      <xdr:sp macro="" textlink="Config!C12">
        <xdr:nvSpPr>
          <xdr:cNvPr id="12" name="Retângulo 11">
            <a:extLst>
              <a:ext uri="{FF2B5EF4-FFF2-40B4-BE49-F238E27FC236}">
                <a16:creationId xmlns:a16="http://schemas.microsoft.com/office/drawing/2014/main" id="{CE62D7F9-4CF0-F739-F3BA-F997745D3CCA}"/>
              </a:ext>
            </a:extLst>
          </xdr:cNvPr>
          <xdr:cNvSpPr/>
        </xdr:nvSpPr>
        <xdr:spPr>
          <a:xfrm>
            <a:off x="4996390" y="1475951"/>
            <a:ext cx="2002155" cy="1899073"/>
          </a:xfrm>
          <a:prstGeom prst="rect">
            <a:avLst/>
          </a:prstGeom>
          <a:solidFill>
            <a:srgbClr val="0070C0"/>
          </a:solidFill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4C65FE-AF16-4B1B-AE92-CBB4977618B6}" type="TxLink">
              <a:rPr lang="en-US" sz="6000" b="1" i="0" u="none" strike="noStrike" kern="1200">
                <a:solidFill>
                  <a:srgbClr val="FFFFFF"/>
                </a:solidFill>
                <a:latin typeface="Aptos Narrow"/>
              </a:rPr>
              <a:pPr algn="ctr"/>
              <a:t>11</a:t>
            </a:fld>
            <a:endParaRPr lang="pt-BR" sz="6000" b="1" kern="1200"/>
          </a:p>
        </xdr:txBody>
      </xdr:sp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FC52088B-9C8B-495A-AA2F-49856D320917}"/>
              </a:ext>
            </a:extLst>
          </xdr:cNvPr>
          <xdr:cNvSpPr/>
        </xdr:nvSpPr>
        <xdr:spPr>
          <a:xfrm>
            <a:off x="4989616" y="978535"/>
            <a:ext cx="2017395" cy="382905"/>
          </a:xfrm>
          <a:prstGeom prst="rect">
            <a:avLst/>
          </a:prstGeom>
          <a:solidFill>
            <a:srgbClr val="0070C0"/>
          </a:solidFill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800" kern="1200"/>
              <a:t>TOTAL</a:t>
            </a:r>
          </a:p>
        </xdr:txBody>
      </xdr:sp>
    </xdr:grpSp>
    <xdr:clientData/>
  </xdr:twoCellAnchor>
  <xdr:twoCellAnchor editAs="absolute">
    <xdr:from>
      <xdr:col>11</xdr:col>
      <xdr:colOff>402379</xdr:colOff>
      <xdr:row>5</xdr:row>
      <xdr:rowOff>53976</xdr:rowOff>
    </xdr:from>
    <xdr:to>
      <xdr:col>14</xdr:col>
      <xdr:colOff>592453</xdr:colOff>
      <xdr:row>17</xdr:row>
      <xdr:rowOff>170180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9BE130FA-F126-A4F1-B798-0035D7EB6666}"/>
            </a:ext>
          </a:extLst>
        </xdr:cNvPr>
        <xdr:cNvGrpSpPr/>
      </xdr:nvGrpSpPr>
      <xdr:grpSpPr>
        <a:xfrm>
          <a:off x="6864986" y="978536"/>
          <a:ext cx="2031574" cy="2402204"/>
          <a:chOff x="7285562" y="999702"/>
          <a:chExt cx="2014223" cy="2392729"/>
        </a:xfrm>
        <a:solidFill>
          <a:srgbClr val="FFC000"/>
        </a:solidFill>
      </xdr:grpSpPr>
      <xdr:sp macro="" textlink="Config!C13">
        <xdr:nvSpPr>
          <xdr:cNvPr id="14" name="Retângulo 13">
            <a:extLst>
              <a:ext uri="{FF2B5EF4-FFF2-40B4-BE49-F238E27FC236}">
                <a16:creationId xmlns:a16="http://schemas.microsoft.com/office/drawing/2014/main" id="{8BA828C7-948A-407B-B6EF-0CFD1323ADF5}"/>
              </a:ext>
            </a:extLst>
          </xdr:cNvPr>
          <xdr:cNvSpPr/>
        </xdr:nvSpPr>
        <xdr:spPr>
          <a:xfrm>
            <a:off x="7285562" y="1496335"/>
            <a:ext cx="1998128" cy="1896096"/>
          </a:xfrm>
          <a:prstGeom prst="rect">
            <a:avLst/>
          </a:prstGeom>
          <a:grpFill/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CA0CBC7-7B86-4507-AE58-E05B6C95ED15}" type="TxLink">
              <a:rPr lang="en-US" sz="6000" b="1" i="0" u="none" strike="noStrike" kern="1200">
                <a:solidFill>
                  <a:srgbClr val="FFFFFF"/>
                </a:solidFill>
                <a:latin typeface="Aptos Narrow"/>
              </a:rPr>
              <a:pPr algn="ctr"/>
              <a:t>4</a:t>
            </a:fld>
            <a:endParaRPr lang="pt-BR" sz="6000" b="1" kern="1200"/>
          </a:p>
        </xdr:txBody>
      </xdr:sp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4DA28795-4D5F-4730-A8FE-6498149B1F55}"/>
              </a:ext>
            </a:extLst>
          </xdr:cNvPr>
          <xdr:cNvSpPr/>
        </xdr:nvSpPr>
        <xdr:spPr>
          <a:xfrm>
            <a:off x="7290010" y="999702"/>
            <a:ext cx="2009775" cy="382905"/>
          </a:xfrm>
          <a:prstGeom prst="rect">
            <a:avLst/>
          </a:prstGeom>
          <a:grpFill/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800" kern="1200"/>
              <a:t>POUCO</a:t>
            </a:r>
            <a:r>
              <a:rPr lang="pt-BR" sz="1800" kern="1200" baseline="0"/>
              <a:t> USO</a:t>
            </a:r>
            <a:endParaRPr lang="pt-BR" sz="1800" kern="1200"/>
          </a:p>
        </xdr:txBody>
      </xdr:sp>
    </xdr:grpSp>
    <xdr:clientData/>
  </xdr:twoCellAnchor>
  <xdr:twoCellAnchor editAs="absolute">
    <xdr:from>
      <xdr:col>15</xdr:col>
      <xdr:colOff>190498</xdr:colOff>
      <xdr:row>5</xdr:row>
      <xdr:rowOff>53976</xdr:rowOff>
    </xdr:from>
    <xdr:to>
      <xdr:col>18</xdr:col>
      <xdr:colOff>358773</xdr:colOff>
      <xdr:row>17</xdr:row>
      <xdr:rowOff>173990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574FB702-B908-7D0A-4B84-EF7327C9BCA9}"/>
            </a:ext>
          </a:extLst>
        </xdr:cNvPr>
        <xdr:cNvGrpSpPr/>
      </xdr:nvGrpSpPr>
      <xdr:grpSpPr>
        <a:xfrm>
          <a:off x="9112248" y="978536"/>
          <a:ext cx="2013585" cy="2398394"/>
          <a:chOff x="9551033" y="1031452"/>
          <a:chExt cx="2005965" cy="2394584"/>
        </a:xfrm>
      </xdr:grpSpPr>
      <xdr:sp macro="" textlink="Config!C14">
        <xdr:nvSpPr>
          <xdr:cNvPr id="16" name="Retângulo 15">
            <a:extLst>
              <a:ext uri="{FF2B5EF4-FFF2-40B4-BE49-F238E27FC236}">
                <a16:creationId xmlns:a16="http://schemas.microsoft.com/office/drawing/2014/main" id="{6C148A6E-7F04-4830-B710-E45C838D6894}"/>
              </a:ext>
            </a:extLst>
          </xdr:cNvPr>
          <xdr:cNvSpPr/>
        </xdr:nvSpPr>
        <xdr:spPr>
          <a:xfrm>
            <a:off x="9557807" y="1519343"/>
            <a:ext cx="1988820" cy="1906693"/>
          </a:xfrm>
          <a:prstGeom prst="rect">
            <a:avLst/>
          </a:prstGeom>
          <a:solidFill>
            <a:schemeClr val="accent6"/>
          </a:solidFill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038D7F4-B6EB-4011-B836-525C74D8BE8A}" type="TxLink">
              <a:rPr lang="en-US" sz="6000" b="1" i="0" u="none" strike="noStrike" kern="1200">
                <a:solidFill>
                  <a:srgbClr val="FFFFFF"/>
                </a:solidFill>
                <a:latin typeface="Aptos Narrow"/>
              </a:rPr>
              <a:pPr algn="ctr"/>
              <a:t>11</a:t>
            </a:fld>
            <a:endParaRPr lang="pt-BR" sz="6000" b="1" kern="1200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3D89F925-3D96-4C85-9E17-D49B057ACD04}"/>
              </a:ext>
            </a:extLst>
          </xdr:cNvPr>
          <xdr:cNvSpPr/>
        </xdr:nvSpPr>
        <xdr:spPr>
          <a:xfrm>
            <a:off x="9551033" y="1031452"/>
            <a:ext cx="2005965" cy="381000"/>
          </a:xfrm>
          <a:prstGeom prst="rect">
            <a:avLst/>
          </a:prstGeom>
          <a:solidFill>
            <a:schemeClr val="accent6"/>
          </a:solidFill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800" kern="1200"/>
              <a:t>ATIVADO</a:t>
            </a:r>
          </a:p>
        </xdr:txBody>
      </xdr:sp>
    </xdr:grpSp>
    <xdr:clientData/>
  </xdr:twoCellAnchor>
  <xdr:twoCellAnchor editAs="absolute">
    <xdr:from>
      <xdr:col>18</xdr:col>
      <xdr:colOff>556259</xdr:colOff>
      <xdr:row>5</xdr:row>
      <xdr:rowOff>57786</xdr:rowOff>
    </xdr:from>
    <xdr:to>
      <xdr:col>22</xdr:col>
      <xdr:colOff>92497</xdr:colOff>
      <xdr:row>17</xdr:row>
      <xdr:rowOff>160655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4450DC1-B5A6-7AF2-163F-6262C90AE20F}"/>
            </a:ext>
          </a:extLst>
        </xdr:cNvPr>
        <xdr:cNvGrpSpPr/>
      </xdr:nvGrpSpPr>
      <xdr:grpSpPr>
        <a:xfrm>
          <a:off x="11315699" y="974726"/>
          <a:ext cx="1999191" cy="2394584"/>
          <a:chOff x="11745806" y="1043941"/>
          <a:chExt cx="2003001" cy="2386964"/>
        </a:xfrm>
        <a:solidFill>
          <a:srgbClr val="FF0000"/>
        </a:solidFill>
      </xdr:grpSpPr>
      <xdr:sp macro="" textlink="Config!C15">
        <xdr:nvSpPr>
          <xdr:cNvPr id="18" name="Retângulo 17">
            <a:extLst>
              <a:ext uri="{FF2B5EF4-FFF2-40B4-BE49-F238E27FC236}">
                <a16:creationId xmlns:a16="http://schemas.microsoft.com/office/drawing/2014/main" id="{7D744CD9-98BE-4825-9F2A-80C100D26237}"/>
              </a:ext>
            </a:extLst>
          </xdr:cNvPr>
          <xdr:cNvSpPr/>
        </xdr:nvSpPr>
        <xdr:spPr>
          <a:xfrm>
            <a:off x="11745806" y="1531832"/>
            <a:ext cx="1986915" cy="1899073"/>
          </a:xfrm>
          <a:prstGeom prst="rect">
            <a:avLst/>
          </a:prstGeom>
          <a:grpFill/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EB963B6-E8C1-4579-AF7A-425A0747C544}" type="TxLink">
              <a:rPr lang="en-US" sz="6000" b="1" i="0" u="none" strike="noStrike" kern="1200">
                <a:solidFill>
                  <a:srgbClr val="FFFFFF"/>
                </a:solidFill>
                <a:latin typeface="Aptos Narrow"/>
              </a:rPr>
              <a:pPr algn="ctr"/>
              <a:t>0</a:t>
            </a:fld>
            <a:endParaRPr lang="pt-BR" sz="6000" b="1" kern="1200"/>
          </a:p>
        </xdr:txBody>
      </xdr:sp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C46B00C6-50FA-4F39-B6E9-D4097AC5D714}"/>
              </a:ext>
            </a:extLst>
          </xdr:cNvPr>
          <xdr:cNvSpPr/>
        </xdr:nvSpPr>
        <xdr:spPr>
          <a:xfrm>
            <a:off x="11746652" y="1043941"/>
            <a:ext cx="2002155" cy="373380"/>
          </a:xfrm>
          <a:prstGeom prst="rect">
            <a:avLst/>
          </a:prstGeom>
          <a:grpFill/>
          <a:ln w="31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800" kern="1200"/>
              <a:t>DESATIVADO</a:t>
            </a:r>
          </a:p>
        </xdr:txBody>
      </xdr:sp>
    </xdr:grpSp>
    <xdr:clientData/>
  </xdr:twoCellAnchor>
  <xdr:twoCellAnchor>
    <xdr:from>
      <xdr:col>8</xdr:col>
      <xdr:colOff>56726</xdr:colOff>
      <xdr:row>19</xdr:row>
      <xdr:rowOff>133773</xdr:rowOff>
    </xdr:from>
    <xdr:to>
      <xdr:col>22</xdr:col>
      <xdr:colOff>95250</xdr:colOff>
      <xdr:row>36</xdr:row>
      <xdr:rowOff>74083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8FA705DD-EAF6-4EE1-A716-2E60EA963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520484</xdr:colOff>
      <xdr:row>5</xdr:row>
      <xdr:rowOff>175259</xdr:rowOff>
    </xdr:from>
    <xdr:to>
      <xdr:col>29</xdr:col>
      <xdr:colOff>284267</xdr:colOff>
      <xdr:row>6</xdr:row>
      <xdr:rowOff>239891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4B4BA6DD-D7B5-2095-54A4-C0B6F0600239}"/>
            </a:ext>
          </a:extLst>
        </xdr:cNvPr>
        <xdr:cNvSpPr txBox="1"/>
      </xdr:nvSpPr>
      <xdr:spPr>
        <a:xfrm>
          <a:off x="13739067" y="1096009"/>
          <a:ext cx="4060617" cy="297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800" b="1" kern="1200" baseline="0">
              <a:solidFill>
                <a:schemeClr val="bg1"/>
              </a:solidFill>
            </a:rPr>
            <a:t>DICA DE VALIDAÇÕES</a:t>
          </a:r>
          <a:endParaRPr lang="pt-BR" sz="1800" b="1" kern="12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555837</xdr:colOff>
      <xdr:row>1</xdr:row>
      <xdr:rowOff>97155</xdr:rowOff>
    </xdr:from>
    <xdr:to>
      <xdr:col>23</xdr:col>
      <xdr:colOff>60113</xdr:colOff>
      <xdr:row>2</xdr:row>
      <xdr:rowOff>173355</xdr:rowOff>
    </xdr:to>
    <xdr:sp macro="[0]!update" textlink="">
      <xdr:nvSpPr>
        <xdr:cNvPr id="2" name="Retângulo 1">
          <a:extLst>
            <a:ext uri="{FF2B5EF4-FFF2-40B4-BE49-F238E27FC236}">
              <a16:creationId xmlns:a16="http://schemas.microsoft.com/office/drawing/2014/main" id="{F28972AF-ACE9-4106-9057-5C662147E4D7}"/>
            </a:ext>
          </a:extLst>
        </xdr:cNvPr>
        <xdr:cNvSpPr/>
      </xdr:nvSpPr>
      <xdr:spPr>
        <a:xfrm>
          <a:off x="13895493" y="278130"/>
          <a:ext cx="1356360" cy="26289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ATUALIZAR</a:t>
          </a:r>
        </a:p>
      </xdr:txBody>
    </xdr:sp>
    <xdr:clientData/>
  </xdr:twoCellAnchor>
  <xdr:twoCellAnchor editAs="absolute">
    <xdr:from>
      <xdr:col>18</xdr:col>
      <xdr:colOff>325121</xdr:colOff>
      <xdr:row>1</xdr:row>
      <xdr:rowOff>98636</xdr:rowOff>
    </xdr:from>
    <xdr:to>
      <xdr:col>20</xdr:col>
      <xdr:colOff>479214</xdr:colOff>
      <xdr:row>3</xdr:row>
      <xdr:rowOff>1058</xdr:rowOff>
    </xdr:to>
    <xdr:sp macro="[0]!Dash" textlink="">
      <xdr:nvSpPr>
        <xdr:cNvPr id="3" name="Retângulo 2">
          <a:extLst>
            <a:ext uri="{FF2B5EF4-FFF2-40B4-BE49-F238E27FC236}">
              <a16:creationId xmlns:a16="http://schemas.microsoft.com/office/drawing/2014/main" id="{81FE4D75-C028-4DBF-8998-532CE4688F71}"/>
            </a:ext>
          </a:extLst>
        </xdr:cNvPr>
        <xdr:cNvSpPr/>
      </xdr:nvSpPr>
      <xdr:spPr>
        <a:xfrm>
          <a:off x="12461241" y="289136"/>
          <a:ext cx="1350009" cy="253789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516256</xdr:colOff>
      <xdr:row>2</xdr:row>
      <xdr:rowOff>15240</xdr:rowOff>
    </xdr:from>
    <xdr:to>
      <xdr:col>6</xdr:col>
      <xdr:colOff>554143</xdr:colOff>
      <xdr:row>3</xdr:row>
      <xdr:rowOff>135255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921547C3-0D4A-E7E6-4A95-20FA360CDB13}"/>
            </a:ext>
          </a:extLst>
        </xdr:cNvPr>
        <xdr:cNvSpPr txBox="1"/>
      </xdr:nvSpPr>
      <xdr:spPr>
        <a:xfrm>
          <a:off x="512446" y="381000"/>
          <a:ext cx="4040504" cy="2933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800" b="1" kern="1200">
              <a:solidFill>
                <a:schemeClr val="bg1"/>
              </a:solidFill>
            </a:rPr>
            <a:t>CONFIGURAÇÃO</a:t>
          </a:r>
          <a:r>
            <a:rPr lang="pt-BR" sz="1800" b="1" kern="1200" baseline="0">
              <a:solidFill>
                <a:schemeClr val="bg1"/>
              </a:solidFill>
            </a:rPr>
            <a:t> DA ORGANIZAÇÃO</a:t>
          </a:r>
          <a:endParaRPr lang="pt-BR" sz="1800" b="1" kern="12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16</xdr:col>
      <xdr:colOff>98001</xdr:colOff>
      <xdr:row>1</xdr:row>
      <xdr:rowOff>116416</xdr:rowOff>
    </xdr:from>
    <xdr:to>
      <xdr:col>18</xdr:col>
      <xdr:colOff>210183</xdr:colOff>
      <xdr:row>3</xdr:row>
      <xdr:rowOff>20743</xdr:rowOff>
    </xdr:to>
    <xdr:sp macro="[0]!RELATORIOS" textlink="">
      <xdr:nvSpPr>
        <xdr:cNvPr id="7" name="Retângulo 6">
          <a:extLst>
            <a:ext uri="{FF2B5EF4-FFF2-40B4-BE49-F238E27FC236}">
              <a16:creationId xmlns:a16="http://schemas.microsoft.com/office/drawing/2014/main" id="{6E67B20E-ABC7-42A6-9CC4-A030C0E145A8}"/>
            </a:ext>
          </a:extLst>
        </xdr:cNvPr>
        <xdr:cNvSpPr/>
      </xdr:nvSpPr>
      <xdr:spPr>
        <a:xfrm>
          <a:off x="11070166" y="296333"/>
          <a:ext cx="1362709" cy="250825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200" b="1" kern="1200">
              <a:solidFill>
                <a:schemeClr val="lt1"/>
              </a:solidFill>
              <a:latin typeface="+mn-lt"/>
              <a:ea typeface="+mn-ea"/>
              <a:cs typeface="+mn-cs"/>
            </a:rPr>
            <a:t>RELATÓRIO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E5AD5070-3CCF-4064-9009-3EE684E37557}" autoFormatId="16" applyNumberFormats="0" applyBorderFormats="0" applyFontFormats="0" applyPatternFormats="0" applyAlignmentFormats="0" applyWidthHeightFormats="0">
  <queryTableRefresh nextId="100">
    <queryTableFields count="77">
      <queryTableField id="1" name="Nome" tableColumnId="1"/>
      <queryTableField id="2" name="Url" tableColumnId="2"/>
      <queryTableField id="3" name="Status" tableColumnId="3"/>
      <queryTableField id="4" name="BonusDiskQuota" tableColumnId="4"/>
      <queryTableField id="5" name="StorageUsageCurrent" tableColumnId="5"/>
      <queryTableField id="8" name="Storage Cota" tableColumnId="8"/>
      <queryTableField id="9" name="Storage Maximo" tableColumnId="9"/>
      <queryTableField id="6" name="Pertece a Hub?" tableColumnId="6"/>
      <queryTableField id="7" name="Owner" tableColumnId="7"/>
      <queryTableField id="12" name="Tipo de compartilhamento" tableColumnId="12"/>
      <queryTableField id="89" name="Data Criação" tableColumnId="78"/>
      <queryTableField id="14" name="ArchivedBy" tableColumnId="14"/>
      <queryTableField id="15" name="ArchivedTime" tableColumnId="15"/>
      <queryTableField id="16" name="RelatedGroupId" tableColumnId="16"/>
      <queryTableField id="17" name="GroupId" tableColumnId="17"/>
      <queryTableField id="18" name="LocaleId" tableColumnId="18"/>
      <queryTableField id="19" name="LockState" tableColumnId="19"/>
      <queryTableField id="10" name="ResourceQuota" tableColumnId="10"/>
      <queryTableField id="20" name="Template" tableColumnId="20"/>
      <queryTableField id="11" name="ResourceQuotaWarningLevel" tableColumnId="11"/>
      <queryTableField id="21" name="AllowSelfServiceUpgrade" tableColumnId="21"/>
      <queryTableField id="22" name="DenyAddAndCustomizePages" tableColumnId="22"/>
      <queryTableField id="23" name="PWAEnabled" tableColumnId="23"/>
      <queryTableField id="24" name="SiteDefinedSharingCapability" tableColumnId="24"/>
      <queryTableField id="25" name="SandboxedCodeActivationCapability" tableColumnId="25"/>
      <queryTableField id="26" name="DisableCompanyWideSharingLinks" tableColumnId="26"/>
      <queryTableField id="27" name="DisableAppViews" tableColumnId="27"/>
      <queryTableField id="28" name="DisableFlows" tableColumnId="28"/>
      <queryTableField id="29" name="AuthenticationContextName" tableColumnId="29"/>
      <queryTableField id="30" name="StorageQuotaType" tableColumnId="30"/>
      <queryTableField id="31" name="RestrictedToGeo" tableColumnId="31"/>
      <queryTableField id="32" name="ShowPeoplePickerSuggestionsForGuestUsers" tableColumnId="32"/>
      <queryTableField id="33" name="SharingDomainRestrictionMode" tableColumnId="33"/>
      <queryTableField id="34" name="SharingAllowedDomainList" tableColumnId="34"/>
      <queryTableField id="35" name="SharingBlockedDomainList" tableColumnId="35"/>
      <queryTableField id="36" name="ConditionalAccessPolicy" tableColumnId="36"/>
      <queryTableField id="37" name="AllowDownloadingNonWebViewableFiles" tableColumnId="37"/>
      <queryTableField id="38" name="LimitedAccessFileType" tableColumnId="38"/>
      <queryTableField id="39" name="AllowEditing" tableColumnId="39"/>
      <queryTableField id="40" name="SensitivityLabel" tableColumnId="40"/>
      <queryTableField id="41" name="CommentsOnSitePagesDisabled" tableColumnId="41"/>
      <queryTableField id="42" name="SocialBarOnSitePagesDisabled" tableColumnId="42"/>
      <queryTableField id="43" name="DefaultSharingLinkType" tableColumnId="43"/>
      <queryTableField id="44" name="DefaultLinkPermission" tableColumnId="44"/>
      <queryTableField id="45" name="DefaultLinkToExistingAccess" tableColumnId="45"/>
      <queryTableField id="46" name="AnonymousLinkExpirationInDays" tableColumnId="46"/>
      <queryTableField id="47" name="OverrideTenantAnonymousLinkExpirationPolicy" tableColumnId="47"/>
      <queryTableField id="48" name="ExternalUserExpirationInDays" tableColumnId="48"/>
      <queryTableField id="49" name="OverrideTenantExternalUserExpirationPolicy" tableColumnId="49"/>
      <queryTableField id="50" name="SharingLockDownEnabled" tableColumnId="50"/>
      <queryTableField id="51" name="SharingLockDownCanBeCleared" tableColumnId="51"/>
      <queryTableField id="52" name="InformationSegment" tableColumnId="52"/>
      <queryTableField id="53" name="InformationBarriersMode" tableColumnId="53"/>
      <queryTableField id="54" name="BlockDownloadLinksFileType" tableColumnId="54"/>
      <queryTableField id="55" name="OverrideBlockUserInfoVisibility" tableColumnId="55"/>
      <queryTableField id="56" name="IsTeamsConnected" tableColumnId="56"/>
      <queryTableField id="57" name="IsTeamsChannelConnected" tableColumnId="57"/>
      <queryTableField id="58" name="TeamsChannelType" tableColumnId="58"/>
      <queryTableField id="59" name="MediaTranscription" tableColumnId="59"/>
      <queryTableField id="60" name="ExcludedBlockDownloadGroupIds" tableColumnId="60"/>
      <queryTableField id="61" name="ExcludeBlockDownloadPolicySiteOwners" tableColumnId="61"/>
      <queryTableField id="62" name="ReadOnlyForBlockDownloadPolicy" tableColumnId="62"/>
      <queryTableField id="63" name="ExcludeBlockDownloadSharePointGroups" tableColumnId="63"/>
      <queryTableField id="64" name="BlockDownloadPolicy" tableColumnId="64"/>
      <queryTableField id="65" name="LoopDefaultSharingLinkScope" tableColumnId="65"/>
      <queryTableField id="66" name="LoopDefaultSharingLinkRole" tableColumnId="66"/>
      <queryTableField id="67" name="RequestFilesLinkEnabled" tableColumnId="67"/>
      <queryTableField id="68" name="RequestFilesLinkExpirationInDays" tableColumnId="68"/>
      <queryTableField id="69" name="OverrideSharingCapability" tableColumnId="69"/>
      <queryTableField id="70" name="DefaultShareLinkScope" tableColumnId="70"/>
      <queryTableField id="71" name="DefaultShareLinkRole" tableColumnId="71"/>
      <queryTableField id="72" name="BlockGuestsAsSiteAdmin" tableColumnId="72"/>
      <queryTableField id="73" name="ReadOnlyForUnmanagedDevices" tableColumnId="73"/>
      <queryTableField id="74" name="RestrictedAccessControl" tableColumnId="74"/>
      <queryTableField id="75" name="RestrictContentOrgWideSearch" tableColumnId="75"/>
      <queryTableField id="76" name="AuthenticationContextLimitedAccess" tableColumnId="76"/>
      <queryTableField id="77" name="RestrictedAccessControlGroups" tableColumnId="7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7C790E0-DD56-4BFA-B536-2FA297589AA8}" name="tbl_sharepoint_todos_os_sites" displayName="tbl_sharepoint_todos_os_sites" ref="A1:BY12" tableType="queryTable" totalsRowShown="0">
  <autoFilter ref="A1:BY12" xr:uid="{97C790E0-DD56-4BFA-B536-2FA297589AA8}"/>
  <sortState xmlns:xlrd2="http://schemas.microsoft.com/office/spreadsheetml/2017/richdata2" ref="A2:BY12">
    <sortCondition descending="1" ref="E1:E12"/>
  </sortState>
  <tableColumns count="77">
    <tableColumn id="1" xr3:uid="{4B649E19-3F25-4734-AF7C-B0CE533B8EC0}" uniqueName="1" name="Nome" queryTableFieldId="1" dataDxfId="76"/>
    <tableColumn id="2" xr3:uid="{CB9694E2-EDDA-46A9-A0AB-8479179FB6FF}" uniqueName="2" name="Url" queryTableFieldId="2" dataDxfId="75"/>
    <tableColumn id="3" xr3:uid="{2FCF378F-0EF9-44DC-A130-5F6F3A26CCDC}" uniqueName="3" name="Status" queryTableFieldId="3" dataDxfId="74"/>
    <tableColumn id="4" xr3:uid="{3AE19280-D2EE-4285-A1FE-7A553C593521}" uniqueName="4" name="BonusDiskQuota" queryTableFieldId="4" dataDxfId="73"/>
    <tableColumn id="5" xr3:uid="{D5F28F30-996E-4076-9BF4-8CAB795FBC3C}" uniqueName="5" name="StorageUsageCurrent" queryTableFieldId="5" dataDxfId="72"/>
    <tableColumn id="8" xr3:uid="{BD345535-47ED-4DC0-8A31-53AC5CF7A3B8}" uniqueName="8" name="Storage Cota" queryTableFieldId="8" dataDxfId="71"/>
    <tableColumn id="9" xr3:uid="{0F10BE95-6AF6-49F7-9689-A5B474517E2C}" uniqueName="9" name="Storage Maximo" queryTableFieldId="9" dataDxfId="70"/>
    <tableColumn id="6" xr3:uid="{0BB34FF6-F357-4D2B-8F2A-050BF8DB5347}" uniqueName="6" name="Pertece a Hub?" queryTableFieldId="6" dataDxfId="69"/>
    <tableColumn id="7" xr3:uid="{25E9CC0B-5E86-4787-9ACC-65FD96A985B3}" uniqueName="7" name="Owner" queryTableFieldId="7" dataDxfId="68"/>
    <tableColumn id="12" xr3:uid="{24B81C47-7E22-4EE5-9B8C-A441C437A7CA}" uniqueName="12" name="Tipo de compartilhamento" queryTableFieldId="12" dataDxfId="67"/>
    <tableColumn id="78" xr3:uid="{339B6EC5-EFEE-4F70-B6AC-3EEBECC49ED9}" uniqueName="78" name="Data Criação" queryTableFieldId="89" dataDxfId="66"/>
    <tableColumn id="14" xr3:uid="{1B934915-DD21-4AF7-88B5-B95E3DAE6E37}" uniqueName="14" name="ArchivedBy" queryTableFieldId="14" dataDxfId="65"/>
    <tableColumn id="15" xr3:uid="{597661FC-5013-470D-847B-AA745921BE95}" uniqueName="15" name="ArchivedTime" queryTableFieldId="15" dataDxfId="64"/>
    <tableColumn id="16" xr3:uid="{CD092688-C20C-4464-85A2-CCA26F40D85E}" uniqueName="16" name="RelatedGroupId" queryTableFieldId="16" dataDxfId="63"/>
    <tableColumn id="17" xr3:uid="{A972507C-7877-41AF-8629-2C6A9650D1BC}" uniqueName="17" name="GroupId" queryTableFieldId="17" dataDxfId="62"/>
    <tableColumn id="18" xr3:uid="{D8323410-0E6C-46E2-B807-9194DFA915FD}" uniqueName="18" name="LocaleId" queryTableFieldId="18" dataDxfId="61"/>
    <tableColumn id="19" xr3:uid="{8DC3F4DF-0B2A-441D-9EE4-187788F4C822}" uniqueName="19" name="LockState" queryTableFieldId="19" dataDxfId="60"/>
    <tableColumn id="10" xr3:uid="{EB18ECE8-359F-438B-A9B7-1130EE4C7279}" uniqueName="10" name="ResourceQuota" queryTableFieldId="10" dataDxfId="59"/>
    <tableColumn id="20" xr3:uid="{989DFD8A-E7C9-4750-82EA-8459ABE794BD}" uniqueName="20" name="Template" queryTableFieldId="20" dataDxfId="58"/>
    <tableColumn id="11" xr3:uid="{D119CF77-BDBC-49E5-98F2-04C691AEBB5C}" uniqueName="11" name="ResourceQuotaWarningLevel" queryTableFieldId="11" dataDxfId="57"/>
    <tableColumn id="21" xr3:uid="{FBEA86F9-605C-4515-A0BF-D2DC7FFD9C48}" uniqueName="21" name="AllowSelfServiceUpgrade" queryTableFieldId="21" dataDxfId="56"/>
    <tableColumn id="22" xr3:uid="{C879CDD4-FA3C-47FA-B751-79514C15258F}" uniqueName="22" name="DenyAddAndCustomizePages" queryTableFieldId="22" dataDxfId="55"/>
    <tableColumn id="23" xr3:uid="{49BF6337-1035-4725-9F38-5A2E7E9B9DBC}" uniqueName="23" name="PWAEnabled" queryTableFieldId="23" dataDxfId="54"/>
    <tableColumn id="24" xr3:uid="{96267ECF-0C5C-41B7-A97E-9D83BD83D75D}" uniqueName="24" name="SiteDefinedSharingCapability" queryTableFieldId="24" dataDxfId="53"/>
    <tableColumn id="25" xr3:uid="{0F8ED971-D6FC-4B99-8677-5DEAC1E12156}" uniqueName="25" name="SandboxedCodeActivationCapability" queryTableFieldId="25" dataDxfId="52"/>
    <tableColumn id="26" xr3:uid="{2D4A13FE-6815-4BE1-8245-B708D07316BC}" uniqueName="26" name="DisableCompanyWideSharingLinks" queryTableFieldId="26" dataDxfId="51"/>
    <tableColumn id="27" xr3:uid="{15F509C7-45EE-40CB-B063-4BE8FF19DBF0}" uniqueName="27" name="DisableAppViews" queryTableFieldId="27" dataDxfId="50"/>
    <tableColumn id="28" xr3:uid="{7C1BD831-90D4-4484-A1F5-BDC411D02BB0}" uniqueName="28" name="DisableFlows" queryTableFieldId="28" dataDxfId="49"/>
    <tableColumn id="29" xr3:uid="{3A791870-64A7-4D57-95FE-2336826BDFA2}" uniqueName="29" name="AuthenticationContextName" queryTableFieldId="29" dataDxfId="48"/>
    <tableColumn id="30" xr3:uid="{CBA81598-254F-40E3-A9F6-7E7EA61DABEC}" uniqueName="30" name="StorageQuotaType" queryTableFieldId="30" dataDxfId="47"/>
    <tableColumn id="31" xr3:uid="{C9CBA2C0-DCE4-4240-83A1-57D075F83A1A}" uniqueName="31" name="RestrictedToGeo" queryTableFieldId="31" dataDxfId="46"/>
    <tableColumn id="32" xr3:uid="{39A6F4C8-89B1-4427-A252-EC2B1773B6F8}" uniqueName="32" name="ShowPeoplePickerSuggestionsForGuestUsers" queryTableFieldId="32" dataDxfId="45"/>
    <tableColumn id="33" xr3:uid="{49B3BB34-516C-4B25-8F60-4C82376E9E41}" uniqueName="33" name="SharingDomainRestrictionMode" queryTableFieldId="33" dataDxfId="44"/>
    <tableColumn id="34" xr3:uid="{5AC57D2E-0055-4078-B914-5BADF5E7A397}" uniqueName="34" name="SharingAllowedDomainList" queryTableFieldId="34" dataDxfId="43"/>
    <tableColumn id="35" xr3:uid="{8409E20A-1711-41DF-9293-16DB941617BB}" uniqueName="35" name="SharingBlockedDomainList" queryTableFieldId="35" dataDxfId="42"/>
    <tableColumn id="36" xr3:uid="{7A5AB6DB-3FF2-4BC1-877D-8763E0AF1445}" uniqueName="36" name="ConditionalAccessPolicy" queryTableFieldId="36" dataDxfId="41"/>
    <tableColumn id="37" xr3:uid="{88134536-CB10-4C30-877D-1EC963A6F396}" uniqueName="37" name="AllowDownloadingNonWebViewableFiles" queryTableFieldId="37" dataDxfId="40"/>
    <tableColumn id="38" xr3:uid="{F4AD45F4-5262-4E2D-8B1E-22AB58581D80}" uniqueName="38" name="LimitedAccessFileType" queryTableFieldId="38" dataDxfId="39"/>
    <tableColumn id="39" xr3:uid="{3F0EC4EE-503B-4B4F-A5E8-69B628E5757D}" uniqueName="39" name="AllowEditing" queryTableFieldId="39" dataDxfId="38"/>
    <tableColumn id="40" xr3:uid="{69F33A97-7FFF-4F1A-8304-5578EE2DF4B0}" uniqueName="40" name="SensitivityLabel" queryTableFieldId="40" dataDxfId="37"/>
    <tableColumn id="41" xr3:uid="{136C60DB-C0A9-4BC3-81C6-9D773A04AFA7}" uniqueName="41" name="CommentsOnSitePagesDisabled" queryTableFieldId="41" dataDxfId="36"/>
    <tableColumn id="42" xr3:uid="{82F94C4E-B491-466D-9FC7-1A727D1020F2}" uniqueName="42" name="SocialBarOnSitePagesDisabled" queryTableFieldId="42" dataDxfId="35"/>
    <tableColumn id="43" xr3:uid="{75B05F06-F9B2-4BE2-9EA5-D4775024D2C7}" uniqueName="43" name="DefaultSharingLinkType" queryTableFieldId="43" dataDxfId="34"/>
    <tableColumn id="44" xr3:uid="{7425E592-2C3F-4020-A856-0F0EDD3A4165}" uniqueName="44" name="DefaultLinkPermission" queryTableFieldId="44" dataDxfId="33"/>
    <tableColumn id="45" xr3:uid="{38A8F3E2-E60C-48D3-A0BB-6DCEB1204013}" uniqueName="45" name="DefaultLinkToExistingAccess" queryTableFieldId="45" dataDxfId="32"/>
    <tableColumn id="46" xr3:uid="{C6278E6A-04AB-4E9A-8E86-DAEA251ED9B4}" uniqueName="46" name="AnonymousLinkExpirationInDays" queryTableFieldId="46" dataDxfId="31"/>
    <tableColumn id="47" xr3:uid="{1E95A514-A764-4294-90C3-DE379E6AE68E}" uniqueName="47" name="OverrideTenantAnonymousLinkExpirationPolicy" queryTableFieldId="47" dataDxfId="30"/>
    <tableColumn id="48" xr3:uid="{7915D2B3-0DD0-4E15-A0E1-D5133464F7C3}" uniqueName="48" name="ExternalUserExpirationInDays" queryTableFieldId="48" dataDxfId="29"/>
    <tableColumn id="49" xr3:uid="{F4BF4404-28EF-48A6-B2FA-0B6A2AC7C2F2}" uniqueName="49" name="OverrideTenantExternalUserExpirationPolicy" queryTableFieldId="49" dataDxfId="28"/>
    <tableColumn id="50" xr3:uid="{A28F885E-6924-49C2-863E-9FCD989AD94B}" uniqueName="50" name="SharingLockDownEnabled" queryTableFieldId="50" dataDxfId="27"/>
    <tableColumn id="51" xr3:uid="{51F25571-F0A9-4EC0-B087-5C781AF23B30}" uniqueName="51" name="SharingLockDownCanBeCleared" queryTableFieldId="51" dataDxfId="26"/>
    <tableColumn id="52" xr3:uid="{55559421-2B2B-4644-835F-ED8F939175B6}" uniqueName="52" name="InformationSegment" queryTableFieldId="52" dataDxfId="25"/>
    <tableColumn id="53" xr3:uid="{E3E1217A-B829-4992-9FEF-070A0CC7019A}" uniqueName="53" name="InformationBarriersMode" queryTableFieldId="53" dataDxfId="24"/>
    <tableColumn id="54" xr3:uid="{E53AD4A1-4883-468A-83A5-3778593A5DE7}" uniqueName="54" name="BlockDownloadLinksFileType" queryTableFieldId="54" dataDxfId="23"/>
    <tableColumn id="55" xr3:uid="{AA11D7D8-CAC3-4A38-A0B2-42C44DE32D64}" uniqueName="55" name="OverrideBlockUserInfoVisibility" queryTableFieldId="55" dataDxfId="22"/>
    <tableColumn id="56" xr3:uid="{40EC7AB1-4497-4392-B093-A7330F8FD8E3}" uniqueName="56" name="IsTeamsConnected" queryTableFieldId="56" dataDxfId="21"/>
    <tableColumn id="57" xr3:uid="{1545348C-6FC7-425F-BBFF-0ECDAC33290B}" uniqueName="57" name="IsTeamsChannelConnected" queryTableFieldId="57" dataDxfId="20"/>
    <tableColumn id="58" xr3:uid="{B1F2DB9E-1520-4E95-904A-2C5E9C064437}" uniqueName="58" name="TeamsChannelType" queryTableFieldId="58" dataDxfId="19"/>
    <tableColumn id="59" xr3:uid="{01E6F421-75D6-456C-AE9D-0EFAE7F56C49}" uniqueName="59" name="MediaTranscription" queryTableFieldId="59" dataDxfId="18"/>
    <tableColumn id="60" xr3:uid="{458EF848-8973-492A-BA73-FAD6E1DB1E52}" uniqueName="60" name="ExcludedBlockDownloadGroupIds" queryTableFieldId="60" dataDxfId="17"/>
    <tableColumn id="61" xr3:uid="{33FF2D42-9B8B-4191-A9EF-C1F69B771162}" uniqueName="61" name="ExcludeBlockDownloadPolicySiteOwners" queryTableFieldId="61" dataDxfId="16"/>
    <tableColumn id="62" xr3:uid="{E912195F-3374-476A-B01D-05679179AFFF}" uniqueName="62" name="ReadOnlyForBlockDownloadPolicy" queryTableFieldId="62" dataDxfId="15"/>
    <tableColumn id="63" xr3:uid="{DF8A3B89-C046-4949-BEE7-F4AA53AABEB4}" uniqueName="63" name="ExcludeBlockDownloadSharePointGroups" queryTableFieldId="63" dataDxfId="14"/>
    <tableColumn id="64" xr3:uid="{73552242-DA7F-4AB2-8608-20433AF4AFC0}" uniqueName="64" name="BlockDownloadPolicy" queryTableFieldId="64" dataDxfId="13"/>
    <tableColumn id="65" xr3:uid="{532A5A80-976C-45B8-9182-CB8BDE6017C9}" uniqueName="65" name="LoopDefaultSharingLinkScope" queryTableFieldId="65" dataDxfId="12"/>
    <tableColumn id="66" xr3:uid="{D5E81BBB-CAE0-40B4-87B5-0EF776ECCA40}" uniqueName="66" name="LoopDefaultSharingLinkRole" queryTableFieldId="66" dataDxfId="11"/>
    <tableColumn id="67" xr3:uid="{F443F788-4799-49BB-95ED-9F5820BEC1E7}" uniqueName="67" name="RequestFilesLinkEnabled" queryTableFieldId="67" dataDxfId="10"/>
    <tableColumn id="68" xr3:uid="{B0402FBD-1586-4A09-A3F0-FEB68EB337A6}" uniqueName="68" name="RequestFilesLinkExpirationInDays" queryTableFieldId="68" dataDxfId="9"/>
    <tableColumn id="69" xr3:uid="{9ECB1209-FDBD-4FB8-8483-052056757463}" uniqueName="69" name="OverrideSharingCapability" queryTableFieldId="69" dataDxfId="8"/>
    <tableColumn id="70" xr3:uid="{573819EF-DAF8-4378-8F3C-E6CD907D7A2B}" uniqueName="70" name="DefaultShareLinkScope" queryTableFieldId="70" dataDxfId="7"/>
    <tableColumn id="71" xr3:uid="{1CF46A6F-7B9B-4719-A10A-1CDFF2D46041}" uniqueName="71" name="DefaultShareLinkRole" queryTableFieldId="71" dataDxfId="6"/>
    <tableColumn id="72" xr3:uid="{BF2F82B0-EEBD-4341-BCE5-9C99D76CD6FD}" uniqueName="72" name="BlockGuestsAsSiteAdmin" queryTableFieldId="72" dataDxfId="5"/>
    <tableColumn id="73" xr3:uid="{92DB82D3-2262-43DD-A8D1-35AE52E1496F}" uniqueName="73" name="ReadOnlyForUnmanagedDevices" queryTableFieldId="73" dataDxfId="4"/>
    <tableColumn id="74" xr3:uid="{6B85C16D-05D9-4D74-B79C-47BBFBEC3EFA}" uniqueName="74" name="RestrictedAccessControl" queryTableFieldId="74" dataDxfId="3"/>
    <tableColumn id="75" xr3:uid="{6E113C79-C828-431E-ABB6-1B8AB93757D9}" uniqueName="75" name="RestrictContentOrgWideSearch" queryTableFieldId="75" dataDxfId="2"/>
    <tableColumn id="76" xr3:uid="{B1DAD098-D2EE-4F46-81EC-7710F7DAB521}" uniqueName="76" name="AuthenticationContextLimitedAccess" queryTableFieldId="76" dataDxfId="1"/>
    <tableColumn id="77" xr3:uid="{816D3774-345A-458C-8C25-676F9B5C1B27}" uniqueName="77" name="RestrictedAccessControlGroups" queryTableFieldId="7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DA27B-FCFF-4407-A881-0D3325953B05}">
  <sheetPr codeName="Planilha1"/>
  <dimension ref="A1:BY12"/>
  <sheetViews>
    <sheetView tabSelected="1" workbookViewId="0">
      <selection activeCell="B24" sqref="B24"/>
    </sheetView>
  </sheetViews>
  <sheetFormatPr defaultRowHeight="14.4" x14ac:dyDescent="0.3"/>
  <cols>
    <col min="1" max="1" width="28.5546875" bestFit="1" customWidth="1"/>
    <col min="2" max="2" width="66.5546875" bestFit="1" customWidth="1"/>
    <col min="3" max="3" width="8.77734375" bestFit="1" customWidth="1"/>
    <col min="4" max="4" width="17.88671875" bestFit="1" customWidth="1"/>
    <col min="5" max="5" width="22.21875" style="5" bestFit="1" customWidth="1"/>
    <col min="6" max="6" width="14.44140625" bestFit="1" customWidth="1"/>
    <col min="7" max="7" width="17.21875" bestFit="1" customWidth="1"/>
    <col min="8" max="8" width="16.5546875" bestFit="1" customWidth="1"/>
    <col min="9" max="9" width="35.109375" bestFit="1" customWidth="1"/>
    <col min="10" max="10" width="26.88671875" bestFit="1" customWidth="1"/>
    <col min="11" max="11" width="18" bestFit="1" customWidth="1"/>
    <col min="12" max="12" width="12.88671875" bestFit="1" customWidth="1"/>
    <col min="13" max="13" width="18" bestFit="1" customWidth="1"/>
    <col min="14" max="15" width="36.33203125" bestFit="1" customWidth="1"/>
    <col min="16" max="16" width="10.5546875" bestFit="1" customWidth="1"/>
    <col min="17" max="17" width="11.77734375" bestFit="1" customWidth="1"/>
    <col min="18" max="18" width="16.88671875" bestFit="1" customWidth="1"/>
    <col min="19" max="19" width="21.5546875" bestFit="1" customWidth="1"/>
    <col min="20" max="20" width="29.33203125" bestFit="1" customWidth="1"/>
    <col min="21" max="21" width="25.5546875" bestFit="1" customWidth="1"/>
    <col min="22" max="22" width="29.5546875" bestFit="1" customWidth="1"/>
    <col min="23" max="23" width="14.33203125" bestFit="1" customWidth="1"/>
    <col min="24" max="24" width="29.6640625" bestFit="1" customWidth="1"/>
    <col min="25" max="25" width="36.109375" bestFit="1" customWidth="1"/>
    <col min="26" max="26" width="34.5546875" bestFit="1" customWidth="1"/>
    <col min="27" max="27" width="18.44140625" bestFit="1" customWidth="1"/>
    <col min="28" max="28" width="15" bestFit="1" customWidth="1"/>
    <col min="29" max="29" width="28.88671875" bestFit="1" customWidth="1"/>
    <col min="30" max="30" width="19.5546875" bestFit="1" customWidth="1"/>
    <col min="31" max="31" width="18.21875" bestFit="1" customWidth="1"/>
    <col min="32" max="32" width="44.33203125" bestFit="1" customWidth="1"/>
    <col min="33" max="33" width="31.77734375" bestFit="1" customWidth="1"/>
    <col min="34" max="35" width="27.21875" bestFit="1" customWidth="1"/>
    <col min="36" max="36" width="25.21875" bestFit="1" customWidth="1"/>
    <col min="37" max="37" width="40" bestFit="1" customWidth="1"/>
    <col min="38" max="38" width="23.77734375" bestFit="1" customWidth="1"/>
    <col min="39" max="39" width="14" bestFit="1" customWidth="1"/>
    <col min="40" max="40" width="17.33203125" bestFit="1" customWidth="1"/>
    <col min="41" max="41" width="32.44140625" bestFit="1" customWidth="1"/>
    <col min="42" max="42" width="30.6640625" bestFit="1" customWidth="1"/>
    <col min="43" max="43" width="24.44140625" bestFit="1" customWidth="1"/>
    <col min="44" max="44" width="23.5546875" bestFit="1" customWidth="1"/>
    <col min="45" max="45" width="29" bestFit="1" customWidth="1"/>
    <col min="46" max="46" width="32.6640625" bestFit="1" customWidth="1"/>
    <col min="47" max="47" width="46" bestFit="1" customWidth="1"/>
    <col min="48" max="48" width="29.88671875" bestFit="1" customWidth="1"/>
    <col min="49" max="49" width="43.33203125" bestFit="1" customWidth="1"/>
    <col min="50" max="50" width="26.21875" bestFit="1" customWidth="1"/>
    <col min="51" max="51" width="32.109375" bestFit="1" customWidth="1"/>
    <col min="52" max="52" width="21.5546875" bestFit="1" customWidth="1"/>
    <col min="53" max="53" width="25.5546875" bestFit="1" customWidth="1"/>
    <col min="54" max="54" width="29.109375" bestFit="1" customWidth="1"/>
    <col min="55" max="55" width="31.33203125" bestFit="1" customWidth="1"/>
    <col min="56" max="56" width="20.44140625" bestFit="1" customWidth="1"/>
    <col min="57" max="57" width="28" bestFit="1" customWidth="1"/>
    <col min="58" max="58" width="20.6640625" bestFit="1" customWidth="1"/>
    <col min="59" max="59" width="20.21875" bestFit="1" customWidth="1"/>
    <col min="60" max="60" width="33.44140625" bestFit="1" customWidth="1"/>
    <col min="61" max="61" width="40" bestFit="1" customWidth="1"/>
    <col min="62" max="62" width="33.88671875" bestFit="1" customWidth="1"/>
    <col min="63" max="63" width="40.5546875" bestFit="1" customWidth="1"/>
    <col min="64" max="64" width="22.21875" bestFit="1" customWidth="1"/>
    <col min="65" max="65" width="30.109375" bestFit="1" customWidth="1"/>
    <col min="66" max="66" width="28.77734375" bestFit="1" customWidth="1"/>
    <col min="67" max="67" width="25.77734375" bestFit="1" customWidth="1"/>
    <col min="68" max="68" width="33.88671875" bestFit="1" customWidth="1"/>
    <col min="69" max="69" width="26.6640625" bestFit="1" customWidth="1"/>
    <col min="70" max="70" width="24.109375" bestFit="1" customWidth="1"/>
    <col min="71" max="71" width="22.6640625" bestFit="1" customWidth="1"/>
    <col min="72" max="72" width="25.6640625" bestFit="1" customWidth="1"/>
    <col min="73" max="73" width="32.44140625" bestFit="1" customWidth="1"/>
    <col min="74" max="74" width="25.5546875" bestFit="1" customWidth="1"/>
    <col min="75" max="75" width="31.6640625" bestFit="1" customWidth="1"/>
    <col min="76" max="76" width="36.77734375" bestFit="1" customWidth="1"/>
    <col min="77" max="78" width="32.21875" bestFit="1" customWidth="1"/>
  </cols>
  <sheetData>
    <row r="1" spans="1:77" x14ac:dyDescent="0.3">
      <c r="A1" t="s">
        <v>0</v>
      </c>
      <c r="B1" t="s">
        <v>1</v>
      </c>
      <c r="C1" t="s">
        <v>2</v>
      </c>
      <c r="D1" t="s">
        <v>3</v>
      </c>
      <c r="E1" s="5" t="s">
        <v>4</v>
      </c>
      <c r="F1" t="s">
        <v>7</v>
      </c>
      <c r="G1" t="s">
        <v>8</v>
      </c>
      <c r="H1" t="s">
        <v>5</v>
      </c>
      <c r="I1" t="s">
        <v>6</v>
      </c>
      <c r="J1" t="s">
        <v>11</v>
      </c>
      <c r="K1" t="s">
        <v>125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  <c r="R1" t="s">
        <v>9</v>
      </c>
      <c r="S1" t="s">
        <v>39</v>
      </c>
      <c r="T1" t="s">
        <v>10</v>
      </c>
      <c r="U1" t="s">
        <v>40</v>
      </c>
      <c r="V1" t="s">
        <v>41</v>
      </c>
      <c r="W1" t="s">
        <v>42</v>
      </c>
      <c r="X1" t="s">
        <v>43</v>
      </c>
      <c r="Y1" t="s">
        <v>44</v>
      </c>
      <c r="Z1" t="s">
        <v>45</v>
      </c>
      <c r="AA1" t="s">
        <v>46</v>
      </c>
      <c r="AB1" t="s">
        <v>47</v>
      </c>
      <c r="AC1" t="s">
        <v>48</v>
      </c>
      <c r="AD1" t="s">
        <v>49</v>
      </c>
      <c r="AE1" t="s">
        <v>50</v>
      </c>
      <c r="AF1" t="s">
        <v>51</v>
      </c>
      <c r="AG1" t="s">
        <v>52</v>
      </c>
      <c r="AH1" t="s">
        <v>53</v>
      </c>
      <c r="AI1" t="s">
        <v>54</v>
      </c>
      <c r="AJ1" t="s">
        <v>55</v>
      </c>
      <c r="AK1" t="s">
        <v>56</v>
      </c>
      <c r="AL1" t="s">
        <v>57</v>
      </c>
      <c r="AM1" t="s">
        <v>58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68</v>
      </c>
      <c r="AX1" t="s">
        <v>69</v>
      </c>
      <c r="AY1" t="s">
        <v>70</v>
      </c>
      <c r="AZ1" t="s">
        <v>71</v>
      </c>
      <c r="BA1" t="s">
        <v>72</v>
      </c>
      <c r="BB1" t="s">
        <v>73</v>
      </c>
      <c r="BC1" t="s">
        <v>74</v>
      </c>
      <c r="BD1" t="s">
        <v>75</v>
      </c>
      <c r="BE1" t="s">
        <v>76</v>
      </c>
      <c r="BF1" t="s">
        <v>77</v>
      </c>
      <c r="BG1" t="s">
        <v>78</v>
      </c>
      <c r="BH1" t="s">
        <v>79</v>
      </c>
      <c r="BI1" t="s">
        <v>80</v>
      </c>
      <c r="BJ1" t="s">
        <v>81</v>
      </c>
      <c r="BK1" t="s">
        <v>82</v>
      </c>
      <c r="BL1" t="s">
        <v>83</v>
      </c>
      <c r="BM1" t="s">
        <v>84</v>
      </c>
      <c r="BN1" t="s">
        <v>85</v>
      </c>
      <c r="BO1" t="s">
        <v>86</v>
      </c>
      <c r="BP1" t="s">
        <v>87</v>
      </c>
      <c r="BQ1" t="s">
        <v>88</v>
      </c>
      <c r="BR1" t="s">
        <v>89</v>
      </c>
      <c r="BS1" t="s">
        <v>90</v>
      </c>
      <c r="BT1" t="s">
        <v>91</v>
      </c>
      <c r="BU1" t="s">
        <v>92</v>
      </c>
      <c r="BV1" t="s">
        <v>93</v>
      </c>
      <c r="BW1" t="s">
        <v>94</v>
      </c>
      <c r="BX1" t="s">
        <v>95</v>
      </c>
      <c r="BY1" t="s">
        <v>96</v>
      </c>
    </row>
    <row r="2" spans="1:77" x14ac:dyDescent="0.3">
      <c r="A2" t="s">
        <v>134</v>
      </c>
      <c r="B2" t="s">
        <v>135</v>
      </c>
      <c r="C2" t="s">
        <v>12</v>
      </c>
      <c r="D2" t="s">
        <v>136</v>
      </c>
      <c r="E2">
        <v>7050</v>
      </c>
      <c r="F2" t="s">
        <v>103</v>
      </c>
      <c r="G2" t="s">
        <v>104</v>
      </c>
      <c r="H2" t="s">
        <v>102</v>
      </c>
      <c r="I2" t="s">
        <v>128</v>
      </c>
      <c r="J2" t="s">
        <v>14</v>
      </c>
      <c r="K2" t="s">
        <v>137</v>
      </c>
      <c r="L2" t="s">
        <v>13</v>
      </c>
      <c r="M2" t="s">
        <v>97</v>
      </c>
      <c r="N2" t="s">
        <v>99</v>
      </c>
      <c r="O2" t="s">
        <v>99</v>
      </c>
      <c r="P2" t="s">
        <v>119</v>
      </c>
      <c r="Q2" t="s">
        <v>101</v>
      </c>
      <c r="R2" t="s">
        <v>105</v>
      </c>
      <c r="S2" t="s">
        <v>106</v>
      </c>
      <c r="T2" t="s">
        <v>107</v>
      </c>
      <c r="U2" t="s">
        <v>108</v>
      </c>
      <c r="V2" t="s">
        <v>109</v>
      </c>
      <c r="W2" t="s">
        <v>15</v>
      </c>
      <c r="X2" t="s">
        <v>14</v>
      </c>
      <c r="Y2" t="s">
        <v>110</v>
      </c>
      <c r="Z2" t="s">
        <v>110</v>
      </c>
      <c r="AA2" t="s">
        <v>110</v>
      </c>
      <c r="AB2" t="s">
        <v>110</v>
      </c>
      <c r="AC2" t="s">
        <v>13</v>
      </c>
      <c r="AD2" t="s">
        <v>13</v>
      </c>
      <c r="AE2" t="s">
        <v>110</v>
      </c>
      <c r="AF2" t="s">
        <v>102</v>
      </c>
      <c r="AG2" t="s">
        <v>111</v>
      </c>
      <c r="AH2" t="s">
        <v>13</v>
      </c>
      <c r="AI2" t="s">
        <v>13</v>
      </c>
      <c r="AJ2" t="s">
        <v>112</v>
      </c>
      <c r="AK2" t="s">
        <v>102</v>
      </c>
      <c r="AL2" t="s">
        <v>113</v>
      </c>
      <c r="AM2" t="s">
        <v>102</v>
      </c>
      <c r="AN2" t="s">
        <v>13</v>
      </c>
      <c r="AO2" t="s">
        <v>102</v>
      </c>
      <c r="AP2" t="s">
        <v>102</v>
      </c>
      <c r="AQ2" t="s">
        <v>111</v>
      </c>
      <c r="AR2" t="s">
        <v>111</v>
      </c>
      <c r="AS2" t="s">
        <v>102</v>
      </c>
      <c r="AT2" t="s">
        <v>98</v>
      </c>
      <c r="AU2" t="s">
        <v>102</v>
      </c>
      <c r="AV2" t="s">
        <v>98</v>
      </c>
      <c r="AW2" t="s">
        <v>102</v>
      </c>
      <c r="AX2" t="s">
        <v>102</v>
      </c>
      <c r="AY2" t="s">
        <v>102</v>
      </c>
      <c r="AZ2" t="s">
        <v>13</v>
      </c>
      <c r="BA2" t="s">
        <v>13</v>
      </c>
      <c r="BB2" t="s">
        <v>98</v>
      </c>
      <c r="BC2" t="s">
        <v>114</v>
      </c>
      <c r="BD2" t="s">
        <v>102</v>
      </c>
      <c r="BE2" t="s">
        <v>102</v>
      </c>
      <c r="BF2" t="s">
        <v>111</v>
      </c>
      <c r="BG2" t="s">
        <v>109</v>
      </c>
      <c r="BH2" t="s">
        <v>115</v>
      </c>
      <c r="BI2" t="s">
        <v>102</v>
      </c>
      <c r="BJ2" t="s">
        <v>102</v>
      </c>
      <c r="BK2" t="s">
        <v>116</v>
      </c>
      <c r="BL2" t="s">
        <v>102</v>
      </c>
      <c r="BM2" t="s">
        <v>117</v>
      </c>
      <c r="BN2" t="s">
        <v>111</v>
      </c>
      <c r="BO2" t="s">
        <v>102</v>
      </c>
      <c r="BP2" t="s">
        <v>98</v>
      </c>
      <c r="BQ2" t="s">
        <v>102</v>
      </c>
      <c r="BR2" t="s">
        <v>117</v>
      </c>
      <c r="BS2" t="s">
        <v>111</v>
      </c>
      <c r="BT2" t="s">
        <v>118</v>
      </c>
      <c r="BU2" t="s">
        <v>102</v>
      </c>
      <c r="BV2" t="s">
        <v>102</v>
      </c>
      <c r="BW2" t="s">
        <v>102</v>
      </c>
      <c r="BX2" t="s">
        <v>102</v>
      </c>
      <c r="BY2" t="s">
        <v>13</v>
      </c>
    </row>
    <row r="3" spans="1:77" x14ac:dyDescent="0.3">
      <c r="A3" t="s">
        <v>130</v>
      </c>
      <c r="B3" t="s">
        <v>131</v>
      </c>
      <c r="C3" t="s">
        <v>12</v>
      </c>
      <c r="D3" t="s">
        <v>98</v>
      </c>
      <c r="E3">
        <v>80</v>
      </c>
      <c r="F3" t="s">
        <v>103</v>
      </c>
      <c r="G3" t="s">
        <v>104</v>
      </c>
      <c r="H3" t="s">
        <v>102</v>
      </c>
      <c r="I3" t="s">
        <v>13</v>
      </c>
      <c r="J3" t="s">
        <v>121</v>
      </c>
      <c r="K3" t="s">
        <v>132</v>
      </c>
      <c r="L3" t="s">
        <v>13</v>
      </c>
      <c r="M3" t="s">
        <v>97</v>
      </c>
      <c r="N3" t="s">
        <v>99</v>
      </c>
      <c r="O3" t="s">
        <v>99</v>
      </c>
      <c r="P3" t="s">
        <v>119</v>
      </c>
      <c r="Q3" t="s">
        <v>101</v>
      </c>
      <c r="R3" t="s">
        <v>105</v>
      </c>
      <c r="S3" t="s">
        <v>133</v>
      </c>
      <c r="T3" t="s">
        <v>120</v>
      </c>
      <c r="U3" t="s">
        <v>108</v>
      </c>
      <c r="V3" t="s">
        <v>109</v>
      </c>
      <c r="W3" t="s">
        <v>15</v>
      </c>
      <c r="X3" t="s">
        <v>121</v>
      </c>
      <c r="Y3" t="s">
        <v>110</v>
      </c>
      <c r="Z3" t="s">
        <v>110</v>
      </c>
      <c r="AA3" t="s">
        <v>110</v>
      </c>
      <c r="AB3" t="s">
        <v>110</v>
      </c>
      <c r="AC3" t="s">
        <v>13</v>
      </c>
      <c r="AD3" t="s">
        <v>13</v>
      </c>
      <c r="AE3" t="s">
        <v>110</v>
      </c>
      <c r="AF3" t="s">
        <v>102</v>
      </c>
      <c r="AG3" t="s">
        <v>111</v>
      </c>
      <c r="AH3" t="s">
        <v>13</v>
      </c>
      <c r="AI3" t="s">
        <v>13</v>
      </c>
      <c r="AJ3" t="s">
        <v>112</v>
      </c>
      <c r="AK3" t="s">
        <v>102</v>
      </c>
      <c r="AL3" t="s">
        <v>113</v>
      </c>
      <c r="AM3" t="s">
        <v>102</v>
      </c>
      <c r="AN3" t="s">
        <v>13</v>
      </c>
      <c r="AO3" t="s">
        <v>102</v>
      </c>
      <c r="AP3" t="s">
        <v>102</v>
      </c>
      <c r="AQ3" t="s">
        <v>111</v>
      </c>
      <c r="AR3" t="s">
        <v>111</v>
      </c>
      <c r="AS3" t="s">
        <v>102</v>
      </c>
      <c r="AT3" t="s">
        <v>98</v>
      </c>
      <c r="AU3" t="s">
        <v>102</v>
      </c>
      <c r="AV3" t="s">
        <v>98</v>
      </c>
      <c r="AW3" t="s">
        <v>102</v>
      </c>
      <c r="AX3" t="s">
        <v>102</v>
      </c>
      <c r="AY3" t="s">
        <v>102</v>
      </c>
      <c r="AZ3" t="s">
        <v>13</v>
      </c>
      <c r="BA3" t="s">
        <v>13</v>
      </c>
      <c r="BB3" t="s">
        <v>98</v>
      </c>
      <c r="BC3" t="s">
        <v>114</v>
      </c>
      <c r="BD3" t="s">
        <v>102</v>
      </c>
      <c r="BE3" t="s">
        <v>102</v>
      </c>
      <c r="BF3" t="s">
        <v>111</v>
      </c>
      <c r="BG3" t="s">
        <v>109</v>
      </c>
      <c r="BH3" t="s">
        <v>115</v>
      </c>
      <c r="BI3" t="s">
        <v>102</v>
      </c>
      <c r="BJ3" t="s">
        <v>102</v>
      </c>
      <c r="BK3" t="s">
        <v>116</v>
      </c>
      <c r="BL3" t="s">
        <v>102</v>
      </c>
      <c r="BM3" t="s">
        <v>117</v>
      </c>
      <c r="BN3" t="s">
        <v>111</v>
      </c>
      <c r="BO3" t="s">
        <v>102</v>
      </c>
      <c r="BP3" t="s">
        <v>98</v>
      </c>
      <c r="BQ3" t="s">
        <v>102</v>
      </c>
      <c r="BR3" t="s">
        <v>117</v>
      </c>
      <c r="BS3" t="s">
        <v>111</v>
      </c>
      <c r="BT3" t="s">
        <v>118</v>
      </c>
      <c r="BU3" t="s">
        <v>102</v>
      </c>
      <c r="BV3" t="s">
        <v>102</v>
      </c>
      <c r="BW3" t="s">
        <v>102</v>
      </c>
      <c r="BX3" t="s">
        <v>102</v>
      </c>
      <c r="BY3" t="s">
        <v>13</v>
      </c>
    </row>
    <row r="4" spans="1:77" x14ac:dyDescent="0.3">
      <c r="A4" t="s">
        <v>149</v>
      </c>
      <c r="B4" t="s">
        <v>150</v>
      </c>
      <c r="C4" t="s">
        <v>12</v>
      </c>
      <c r="D4" t="s">
        <v>98</v>
      </c>
      <c r="E4">
        <v>29</v>
      </c>
      <c r="F4" t="s">
        <v>103</v>
      </c>
      <c r="G4" t="s">
        <v>104</v>
      </c>
      <c r="H4" t="s">
        <v>102</v>
      </c>
      <c r="I4" t="s">
        <v>128</v>
      </c>
      <c r="J4" t="s">
        <v>15</v>
      </c>
      <c r="K4" t="s">
        <v>151</v>
      </c>
      <c r="L4" t="s">
        <v>13</v>
      </c>
      <c r="M4" t="s">
        <v>97</v>
      </c>
      <c r="N4" t="s">
        <v>99</v>
      </c>
      <c r="O4" t="s">
        <v>99</v>
      </c>
      <c r="P4" t="s">
        <v>100</v>
      </c>
      <c r="Q4" t="s">
        <v>101</v>
      </c>
      <c r="R4" t="s">
        <v>105</v>
      </c>
      <c r="S4" t="s">
        <v>106</v>
      </c>
      <c r="T4" t="s">
        <v>107</v>
      </c>
      <c r="U4" t="s">
        <v>108</v>
      </c>
      <c r="V4" t="s">
        <v>109</v>
      </c>
      <c r="W4" t="s">
        <v>15</v>
      </c>
      <c r="X4" t="s">
        <v>15</v>
      </c>
      <c r="Y4" t="s">
        <v>110</v>
      </c>
      <c r="Z4" t="s">
        <v>110</v>
      </c>
      <c r="AA4" t="s">
        <v>110</v>
      </c>
      <c r="AB4" t="s">
        <v>110</v>
      </c>
      <c r="AC4" t="s">
        <v>13</v>
      </c>
      <c r="AD4" t="s">
        <v>13</v>
      </c>
      <c r="AE4" t="s">
        <v>110</v>
      </c>
      <c r="AF4" t="s">
        <v>102</v>
      </c>
      <c r="AG4" t="s">
        <v>111</v>
      </c>
      <c r="AH4" t="s">
        <v>13</v>
      </c>
      <c r="AI4" t="s">
        <v>13</v>
      </c>
      <c r="AJ4" t="s">
        <v>112</v>
      </c>
      <c r="AK4" t="s">
        <v>102</v>
      </c>
      <c r="AL4" t="s">
        <v>113</v>
      </c>
      <c r="AM4" t="s">
        <v>102</v>
      </c>
      <c r="AN4" t="s">
        <v>13</v>
      </c>
      <c r="AO4" t="s">
        <v>102</v>
      </c>
      <c r="AP4" t="s">
        <v>102</v>
      </c>
      <c r="AQ4" t="s">
        <v>111</v>
      </c>
      <c r="AR4" t="s">
        <v>111</v>
      </c>
      <c r="AS4" t="s">
        <v>102</v>
      </c>
      <c r="AT4" t="s">
        <v>98</v>
      </c>
      <c r="AU4" t="s">
        <v>102</v>
      </c>
      <c r="AV4" t="s">
        <v>98</v>
      </c>
      <c r="AW4" t="s">
        <v>102</v>
      </c>
      <c r="AX4" t="s">
        <v>102</v>
      </c>
      <c r="AY4" t="s">
        <v>102</v>
      </c>
      <c r="AZ4" t="s">
        <v>13</v>
      </c>
      <c r="BA4" t="s">
        <v>13</v>
      </c>
      <c r="BB4" t="s">
        <v>98</v>
      </c>
      <c r="BC4" t="s">
        <v>114</v>
      </c>
      <c r="BD4" t="s">
        <v>102</v>
      </c>
      <c r="BE4" t="s">
        <v>102</v>
      </c>
      <c r="BF4" t="s">
        <v>111</v>
      </c>
      <c r="BG4" t="s">
        <v>109</v>
      </c>
      <c r="BH4" t="s">
        <v>115</v>
      </c>
      <c r="BI4" t="s">
        <v>102</v>
      </c>
      <c r="BJ4" t="s">
        <v>102</v>
      </c>
      <c r="BK4" t="s">
        <v>116</v>
      </c>
      <c r="BL4" t="s">
        <v>102</v>
      </c>
      <c r="BM4" t="s">
        <v>117</v>
      </c>
      <c r="BN4" t="s">
        <v>111</v>
      </c>
      <c r="BO4" t="s">
        <v>102</v>
      </c>
      <c r="BP4" t="s">
        <v>98</v>
      </c>
      <c r="BQ4" t="s">
        <v>102</v>
      </c>
      <c r="BR4" t="s">
        <v>117</v>
      </c>
      <c r="BS4" t="s">
        <v>111</v>
      </c>
      <c r="BT4" t="s">
        <v>118</v>
      </c>
      <c r="BU4" t="s">
        <v>102</v>
      </c>
      <c r="BV4" t="s">
        <v>102</v>
      </c>
      <c r="BW4" t="s">
        <v>102</v>
      </c>
      <c r="BX4" t="s">
        <v>102</v>
      </c>
      <c r="BY4" t="s">
        <v>13</v>
      </c>
    </row>
    <row r="5" spans="1:77" x14ac:dyDescent="0.3">
      <c r="A5" t="s">
        <v>126</v>
      </c>
      <c r="B5" t="s">
        <v>127</v>
      </c>
      <c r="C5" t="s">
        <v>12</v>
      </c>
      <c r="D5" t="s">
        <v>98</v>
      </c>
      <c r="E5">
        <v>9</v>
      </c>
      <c r="F5" t="s">
        <v>103</v>
      </c>
      <c r="G5" t="s">
        <v>104</v>
      </c>
      <c r="H5" t="s">
        <v>102</v>
      </c>
      <c r="I5" t="s">
        <v>128</v>
      </c>
      <c r="J5" t="s">
        <v>15</v>
      </c>
      <c r="K5" t="s">
        <v>129</v>
      </c>
      <c r="L5" t="s">
        <v>13</v>
      </c>
      <c r="M5" t="s">
        <v>97</v>
      </c>
      <c r="N5" t="s">
        <v>99</v>
      </c>
      <c r="O5" t="s">
        <v>99</v>
      </c>
      <c r="P5" t="s">
        <v>100</v>
      </c>
      <c r="Q5" t="s">
        <v>101</v>
      </c>
      <c r="R5" t="s">
        <v>105</v>
      </c>
      <c r="S5" t="s">
        <v>106</v>
      </c>
      <c r="T5" t="s">
        <v>107</v>
      </c>
      <c r="U5" t="s">
        <v>108</v>
      </c>
      <c r="V5" t="s">
        <v>109</v>
      </c>
      <c r="W5" t="s">
        <v>15</v>
      </c>
      <c r="X5" t="s">
        <v>15</v>
      </c>
      <c r="Y5" t="s">
        <v>110</v>
      </c>
      <c r="Z5" t="s">
        <v>110</v>
      </c>
      <c r="AA5" t="s">
        <v>110</v>
      </c>
      <c r="AB5" t="s">
        <v>110</v>
      </c>
      <c r="AC5" t="s">
        <v>13</v>
      </c>
      <c r="AD5" t="s">
        <v>13</v>
      </c>
      <c r="AE5" t="s">
        <v>110</v>
      </c>
      <c r="AF5" t="s">
        <v>102</v>
      </c>
      <c r="AG5" t="s">
        <v>111</v>
      </c>
      <c r="AH5" t="s">
        <v>13</v>
      </c>
      <c r="AI5" t="s">
        <v>13</v>
      </c>
      <c r="AJ5" t="s">
        <v>112</v>
      </c>
      <c r="AK5" t="s">
        <v>102</v>
      </c>
      <c r="AL5" t="s">
        <v>113</v>
      </c>
      <c r="AM5" t="s">
        <v>102</v>
      </c>
      <c r="AN5" t="s">
        <v>13</v>
      </c>
      <c r="AO5" t="s">
        <v>102</v>
      </c>
      <c r="AP5" t="s">
        <v>102</v>
      </c>
      <c r="AQ5" t="s">
        <v>111</v>
      </c>
      <c r="AR5" t="s">
        <v>111</v>
      </c>
      <c r="AS5" t="s">
        <v>102</v>
      </c>
      <c r="AT5" t="s">
        <v>98</v>
      </c>
      <c r="AU5" t="s">
        <v>102</v>
      </c>
      <c r="AV5" t="s">
        <v>98</v>
      </c>
      <c r="AW5" t="s">
        <v>102</v>
      </c>
      <c r="AX5" t="s">
        <v>102</v>
      </c>
      <c r="AY5" t="s">
        <v>102</v>
      </c>
      <c r="AZ5" t="s">
        <v>13</v>
      </c>
      <c r="BA5" t="s">
        <v>13</v>
      </c>
      <c r="BB5" t="s">
        <v>98</v>
      </c>
      <c r="BC5" t="s">
        <v>114</v>
      </c>
      <c r="BD5" t="s">
        <v>102</v>
      </c>
      <c r="BE5" t="s">
        <v>102</v>
      </c>
      <c r="BF5" t="s">
        <v>111</v>
      </c>
      <c r="BG5" t="s">
        <v>109</v>
      </c>
      <c r="BH5" t="s">
        <v>115</v>
      </c>
      <c r="BI5" t="s">
        <v>102</v>
      </c>
      <c r="BJ5" t="s">
        <v>102</v>
      </c>
      <c r="BK5" t="s">
        <v>116</v>
      </c>
      <c r="BL5" t="s">
        <v>102</v>
      </c>
      <c r="BM5" t="s">
        <v>117</v>
      </c>
      <c r="BN5" t="s">
        <v>111</v>
      </c>
      <c r="BO5" t="s">
        <v>102</v>
      </c>
      <c r="BP5" t="s">
        <v>98</v>
      </c>
      <c r="BQ5" t="s">
        <v>102</v>
      </c>
      <c r="BR5" t="s">
        <v>117</v>
      </c>
      <c r="BS5" t="s">
        <v>111</v>
      </c>
      <c r="BT5" t="s">
        <v>118</v>
      </c>
      <c r="BU5" t="s">
        <v>102</v>
      </c>
      <c r="BV5" t="s">
        <v>102</v>
      </c>
      <c r="BW5" t="s">
        <v>102</v>
      </c>
      <c r="BX5" t="s">
        <v>102</v>
      </c>
      <c r="BY5" t="s">
        <v>13</v>
      </c>
    </row>
    <row r="6" spans="1:77" x14ac:dyDescent="0.3">
      <c r="A6" t="s">
        <v>138</v>
      </c>
      <c r="B6" t="s">
        <v>139</v>
      </c>
      <c r="C6" t="s">
        <v>12</v>
      </c>
      <c r="D6" t="s">
        <v>98</v>
      </c>
      <c r="E6">
        <v>3</v>
      </c>
      <c r="F6" t="s">
        <v>103</v>
      </c>
      <c r="G6" t="s">
        <v>104</v>
      </c>
      <c r="H6" t="s">
        <v>102</v>
      </c>
      <c r="I6" t="s">
        <v>13</v>
      </c>
      <c r="J6" t="s">
        <v>14</v>
      </c>
      <c r="K6" t="s">
        <v>140</v>
      </c>
      <c r="L6" t="s">
        <v>13</v>
      </c>
      <c r="M6" t="s">
        <v>97</v>
      </c>
      <c r="N6" t="s">
        <v>141</v>
      </c>
      <c r="O6" t="s">
        <v>141</v>
      </c>
      <c r="P6" t="s">
        <v>100</v>
      </c>
      <c r="Q6" t="s">
        <v>101</v>
      </c>
      <c r="R6" t="s">
        <v>105</v>
      </c>
      <c r="S6" t="s">
        <v>122</v>
      </c>
      <c r="T6" t="s">
        <v>107</v>
      </c>
      <c r="U6" t="s">
        <v>108</v>
      </c>
      <c r="V6" t="s">
        <v>109</v>
      </c>
      <c r="W6" t="s">
        <v>15</v>
      </c>
      <c r="X6" t="s">
        <v>14</v>
      </c>
      <c r="Y6" t="s">
        <v>110</v>
      </c>
      <c r="Z6" t="s">
        <v>110</v>
      </c>
      <c r="AA6" t="s">
        <v>110</v>
      </c>
      <c r="AB6" t="s">
        <v>110</v>
      </c>
      <c r="AC6" t="s">
        <v>13</v>
      </c>
      <c r="AD6" t="s">
        <v>13</v>
      </c>
      <c r="AE6" t="s">
        <v>110</v>
      </c>
      <c r="AF6" t="s">
        <v>102</v>
      </c>
      <c r="AG6" t="s">
        <v>111</v>
      </c>
      <c r="AH6" t="s">
        <v>13</v>
      </c>
      <c r="AI6" t="s">
        <v>13</v>
      </c>
      <c r="AJ6" t="s">
        <v>112</v>
      </c>
      <c r="AK6" t="s">
        <v>102</v>
      </c>
      <c r="AL6" t="s">
        <v>113</v>
      </c>
      <c r="AM6" t="s">
        <v>102</v>
      </c>
      <c r="AN6" t="s">
        <v>13</v>
      </c>
      <c r="AO6" t="s">
        <v>102</v>
      </c>
      <c r="AP6" t="s">
        <v>102</v>
      </c>
      <c r="AQ6" t="s">
        <v>111</v>
      </c>
      <c r="AR6" t="s">
        <v>111</v>
      </c>
      <c r="AS6" t="s">
        <v>102</v>
      </c>
      <c r="AT6" t="s">
        <v>98</v>
      </c>
      <c r="AU6" t="s">
        <v>102</v>
      </c>
      <c r="AV6" t="s">
        <v>98</v>
      </c>
      <c r="AW6" t="s">
        <v>102</v>
      </c>
      <c r="AX6" t="s">
        <v>102</v>
      </c>
      <c r="AY6" t="s">
        <v>102</v>
      </c>
      <c r="AZ6" t="s">
        <v>13</v>
      </c>
      <c r="BA6" t="s">
        <v>13</v>
      </c>
      <c r="BB6" t="s">
        <v>98</v>
      </c>
      <c r="BC6" t="s">
        <v>114</v>
      </c>
      <c r="BD6" t="s">
        <v>102</v>
      </c>
      <c r="BE6" t="s">
        <v>102</v>
      </c>
      <c r="BF6" t="s">
        <v>111</v>
      </c>
      <c r="BG6" t="s">
        <v>109</v>
      </c>
      <c r="BH6" t="s">
        <v>115</v>
      </c>
      <c r="BI6" t="s">
        <v>102</v>
      </c>
      <c r="BJ6" t="s">
        <v>102</v>
      </c>
      <c r="BK6" t="s">
        <v>116</v>
      </c>
      <c r="BL6" t="s">
        <v>102</v>
      </c>
      <c r="BM6" t="s">
        <v>117</v>
      </c>
      <c r="BN6" t="s">
        <v>111</v>
      </c>
      <c r="BO6" t="s">
        <v>102</v>
      </c>
      <c r="BP6" t="s">
        <v>98</v>
      </c>
      <c r="BQ6" t="s">
        <v>102</v>
      </c>
      <c r="BR6" t="s">
        <v>117</v>
      </c>
      <c r="BS6" t="s">
        <v>111</v>
      </c>
      <c r="BT6" t="s">
        <v>118</v>
      </c>
      <c r="BU6" t="s">
        <v>102</v>
      </c>
      <c r="BV6" t="s">
        <v>102</v>
      </c>
      <c r="BW6" t="s">
        <v>102</v>
      </c>
      <c r="BX6" t="s">
        <v>102</v>
      </c>
      <c r="BY6" t="s">
        <v>13</v>
      </c>
    </row>
    <row r="7" spans="1:77" x14ac:dyDescent="0.3">
      <c r="A7" t="s">
        <v>142</v>
      </c>
      <c r="B7" t="s">
        <v>143</v>
      </c>
      <c r="C7" t="s">
        <v>12</v>
      </c>
      <c r="D7" t="s">
        <v>98</v>
      </c>
      <c r="E7">
        <v>3</v>
      </c>
      <c r="F7" t="s">
        <v>103</v>
      </c>
      <c r="G7" t="s">
        <v>104</v>
      </c>
      <c r="H7" t="s">
        <v>102</v>
      </c>
      <c r="I7" t="s">
        <v>128</v>
      </c>
      <c r="J7" t="s">
        <v>121</v>
      </c>
      <c r="K7" t="s">
        <v>144</v>
      </c>
      <c r="L7" t="s">
        <v>13</v>
      </c>
      <c r="M7" t="s">
        <v>97</v>
      </c>
      <c r="N7" t="s">
        <v>99</v>
      </c>
      <c r="O7" t="s">
        <v>99</v>
      </c>
      <c r="P7" t="s">
        <v>100</v>
      </c>
      <c r="Q7" t="s">
        <v>101</v>
      </c>
      <c r="R7" t="s">
        <v>105</v>
      </c>
      <c r="S7" t="s">
        <v>106</v>
      </c>
      <c r="T7" t="s">
        <v>107</v>
      </c>
      <c r="U7" t="s">
        <v>108</v>
      </c>
      <c r="V7" t="s">
        <v>109</v>
      </c>
      <c r="W7" t="s">
        <v>15</v>
      </c>
      <c r="X7" t="s">
        <v>121</v>
      </c>
      <c r="Y7" t="s">
        <v>110</v>
      </c>
      <c r="Z7" t="s">
        <v>110</v>
      </c>
      <c r="AA7" t="s">
        <v>110</v>
      </c>
      <c r="AB7" t="s">
        <v>110</v>
      </c>
      <c r="AC7" t="s">
        <v>13</v>
      </c>
      <c r="AD7" t="s">
        <v>13</v>
      </c>
      <c r="AE7" t="s">
        <v>110</v>
      </c>
      <c r="AF7" t="s">
        <v>102</v>
      </c>
      <c r="AG7" t="s">
        <v>111</v>
      </c>
      <c r="AH7" t="s">
        <v>13</v>
      </c>
      <c r="AI7" t="s">
        <v>13</v>
      </c>
      <c r="AJ7" t="s">
        <v>112</v>
      </c>
      <c r="AK7" t="s">
        <v>102</v>
      </c>
      <c r="AL7" t="s">
        <v>113</v>
      </c>
      <c r="AM7" t="s">
        <v>102</v>
      </c>
      <c r="AN7" t="s">
        <v>13</v>
      </c>
      <c r="AO7" t="s">
        <v>102</v>
      </c>
      <c r="AP7" t="s">
        <v>102</v>
      </c>
      <c r="AQ7" t="s">
        <v>111</v>
      </c>
      <c r="AR7" t="s">
        <v>111</v>
      </c>
      <c r="AS7" t="s">
        <v>102</v>
      </c>
      <c r="AT7" t="s">
        <v>98</v>
      </c>
      <c r="AU7" t="s">
        <v>102</v>
      </c>
      <c r="AV7" t="s">
        <v>98</v>
      </c>
      <c r="AW7" t="s">
        <v>102</v>
      </c>
      <c r="AX7" t="s">
        <v>102</v>
      </c>
      <c r="AY7" t="s">
        <v>102</v>
      </c>
      <c r="AZ7" t="s">
        <v>13</v>
      </c>
      <c r="BA7" t="s">
        <v>13</v>
      </c>
      <c r="BB7" t="s">
        <v>98</v>
      </c>
      <c r="BC7" t="s">
        <v>114</v>
      </c>
      <c r="BD7" t="s">
        <v>102</v>
      </c>
      <c r="BE7" t="s">
        <v>102</v>
      </c>
      <c r="BF7" t="s">
        <v>111</v>
      </c>
      <c r="BG7" t="s">
        <v>109</v>
      </c>
      <c r="BH7" t="s">
        <v>115</v>
      </c>
      <c r="BI7" t="s">
        <v>102</v>
      </c>
      <c r="BJ7" t="s">
        <v>102</v>
      </c>
      <c r="BK7" t="s">
        <v>116</v>
      </c>
      <c r="BL7" t="s">
        <v>102</v>
      </c>
      <c r="BM7" t="s">
        <v>117</v>
      </c>
      <c r="BN7" t="s">
        <v>111</v>
      </c>
      <c r="BO7" t="s">
        <v>102</v>
      </c>
      <c r="BP7" t="s">
        <v>98</v>
      </c>
      <c r="BQ7" t="s">
        <v>102</v>
      </c>
      <c r="BR7" t="s">
        <v>117</v>
      </c>
      <c r="BS7" t="s">
        <v>111</v>
      </c>
      <c r="BT7" t="s">
        <v>118</v>
      </c>
      <c r="BU7" t="s">
        <v>102</v>
      </c>
      <c r="BV7" t="s">
        <v>102</v>
      </c>
      <c r="BW7" t="s">
        <v>102</v>
      </c>
      <c r="BX7" t="s">
        <v>102</v>
      </c>
      <c r="BY7" t="s">
        <v>13</v>
      </c>
    </row>
    <row r="8" spans="1:77" x14ac:dyDescent="0.3">
      <c r="A8" t="s">
        <v>145</v>
      </c>
      <c r="B8" t="s">
        <v>146</v>
      </c>
      <c r="C8" t="s">
        <v>12</v>
      </c>
      <c r="D8" t="s">
        <v>147</v>
      </c>
      <c r="E8">
        <v>3</v>
      </c>
      <c r="F8" t="s">
        <v>103</v>
      </c>
      <c r="G8" t="s">
        <v>104</v>
      </c>
      <c r="H8" t="s">
        <v>102</v>
      </c>
      <c r="I8" t="s">
        <v>128</v>
      </c>
      <c r="J8" t="s">
        <v>121</v>
      </c>
      <c r="K8" t="s">
        <v>148</v>
      </c>
      <c r="L8" t="s">
        <v>13</v>
      </c>
      <c r="M8" t="s">
        <v>97</v>
      </c>
      <c r="N8" t="s">
        <v>99</v>
      </c>
      <c r="O8" t="s">
        <v>99</v>
      </c>
      <c r="P8" t="s">
        <v>100</v>
      </c>
      <c r="Q8" t="s">
        <v>101</v>
      </c>
      <c r="R8" t="s">
        <v>105</v>
      </c>
      <c r="S8" t="s">
        <v>106</v>
      </c>
      <c r="T8" t="s">
        <v>107</v>
      </c>
      <c r="U8" t="s">
        <v>108</v>
      </c>
      <c r="V8" t="s">
        <v>109</v>
      </c>
      <c r="W8" t="s">
        <v>15</v>
      </c>
      <c r="X8" t="s">
        <v>121</v>
      </c>
      <c r="Y8" t="s">
        <v>110</v>
      </c>
      <c r="Z8" t="s">
        <v>110</v>
      </c>
      <c r="AA8" t="s">
        <v>110</v>
      </c>
      <c r="AB8" t="s">
        <v>110</v>
      </c>
      <c r="AC8" t="s">
        <v>13</v>
      </c>
      <c r="AD8" t="s">
        <v>13</v>
      </c>
      <c r="AE8" t="s">
        <v>110</v>
      </c>
      <c r="AF8" t="s">
        <v>102</v>
      </c>
      <c r="AG8" t="s">
        <v>111</v>
      </c>
      <c r="AH8" t="s">
        <v>13</v>
      </c>
      <c r="AI8" t="s">
        <v>13</v>
      </c>
      <c r="AJ8" t="s">
        <v>112</v>
      </c>
      <c r="AK8" t="s">
        <v>102</v>
      </c>
      <c r="AL8" t="s">
        <v>113</v>
      </c>
      <c r="AM8" t="s">
        <v>102</v>
      </c>
      <c r="AN8" t="s">
        <v>13</v>
      </c>
      <c r="AO8" t="s">
        <v>102</v>
      </c>
      <c r="AP8" t="s">
        <v>102</v>
      </c>
      <c r="AQ8" t="s">
        <v>111</v>
      </c>
      <c r="AR8" t="s">
        <v>111</v>
      </c>
      <c r="AS8" t="s">
        <v>102</v>
      </c>
      <c r="AT8" t="s">
        <v>98</v>
      </c>
      <c r="AU8" t="s">
        <v>102</v>
      </c>
      <c r="AV8" t="s">
        <v>98</v>
      </c>
      <c r="AW8" t="s">
        <v>102</v>
      </c>
      <c r="AX8" t="s">
        <v>102</v>
      </c>
      <c r="AY8" t="s">
        <v>102</v>
      </c>
      <c r="AZ8" t="s">
        <v>13</v>
      </c>
      <c r="BA8" t="s">
        <v>13</v>
      </c>
      <c r="BB8" t="s">
        <v>98</v>
      </c>
      <c r="BC8" t="s">
        <v>114</v>
      </c>
      <c r="BD8" t="s">
        <v>102</v>
      </c>
      <c r="BE8" t="s">
        <v>102</v>
      </c>
      <c r="BF8" t="s">
        <v>111</v>
      </c>
      <c r="BG8" t="s">
        <v>109</v>
      </c>
      <c r="BH8" t="s">
        <v>115</v>
      </c>
      <c r="BI8" t="s">
        <v>102</v>
      </c>
      <c r="BJ8" t="s">
        <v>102</v>
      </c>
      <c r="BK8" t="s">
        <v>116</v>
      </c>
      <c r="BL8" t="s">
        <v>102</v>
      </c>
      <c r="BM8" t="s">
        <v>117</v>
      </c>
      <c r="BN8" t="s">
        <v>111</v>
      </c>
      <c r="BO8" t="s">
        <v>102</v>
      </c>
      <c r="BP8" t="s">
        <v>98</v>
      </c>
      <c r="BQ8" t="s">
        <v>102</v>
      </c>
      <c r="BR8" t="s">
        <v>117</v>
      </c>
      <c r="BS8" t="s">
        <v>111</v>
      </c>
      <c r="BT8" t="s">
        <v>118</v>
      </c>
      <c r="BU8" t="s">
        <v>102</v>
      </c>
      <c r="BV8" t="s">
        <v>102</v>
      </c>
      <c r="BW8" t="s">
        <v>102</v>
      </c>
      <c r="BX8" t="s">
        <v>102</v>
      </c>
      <c r="BY8" t="s">
        <v>13</v>
      </c>
    </row>
    <row r="9" spans="1:77" x14ac:dyDescent="0.3">
      <c r="A9" t="s">
        <v>152</v>
      </c>
      <c r="B9" t="s">
        <v>153</v>
      </c>
      <c r="C9" t="s">
        <v>12</v>
      </c>
      <c r="D9" t="s">
        <v>98</v>
      </c>
      <c r="E9">
        <v>2</v>
      </c>
      <c r="F9" t="s">
        <v>103</v>
      </c>
      <c r="G9" t="s">
        <v>104</v>
      </c>
      <c r="H9" t="s">
        <v>102</v>
      </c>
      <c r="I9" t="s">
        <v>128</v>
      </c>
      <c r="J9" t="s">
        <v>14</v>
      </c>
      <c r="K9" t="s">
        <v>154</v>
      </c>
      <c r="L9" t="s">
        <v>13</v>
      </c>
      <c r="M9" t="s">
        <v>97</v>
      </c>
      <c r="N9" t="s">
        <v>99</v>
      </c>
      <c r="O9" t="s">
        <v>99</v>
      </c>
      <c r="P9" t="s">
        <v>100</v>
      </c>
      <c r="Q9" t="s">
        <v>101</v>
      </c>
      <c r="R9" t="s">
        <v>105</v>
      </c>
      <c r="S9" t="s">
        <v>106</v>
      </c>
      <c r="T9" t="s">
        <v>107</v>
      </c>
      <c r="U9" t="s">
        <v>108</v>
      </c>
      <c r="V9" t="s">
        <v>109</v>
      </c>
      <c r="W9" t="s">
        <v>15</v>
      </c>
      <c r="X9" t="s">
        <v>14</v>
      </c>
      <c r="Y9" t="s">
        <v>110</v>
      </c>
      <c r="Z9" t="s">
        <v>110</v>
      </c>
      <c r="AA9" t="s">
        <v>110</v>
      </c>
      <c r="AB9" t="s">
        <v>110</v>
      </c>
      <c r="AC9" t="s">
        <v>13</v>
      </c>
      <c r="AD9" t="s">
        <v>13</v>
      </c>
      <c r="AE9" t="s">
        <v>110</v>
      </c>
      <c r="AF9" t="s">
        <v>102</v>
      </c>
      <c r="AG9" t="s">
        <v>111</v>
      </c>
      <c r="AH9" t="s">
        <v>13</v>
      </c>
      <c r="AI9" t="s">
        <v>13</v>
      </c>
      <c r="AJ9" t="s">
        <v>112</v>
      </c>
      <c r="AK9" t="s">
        <v>102</v>
      </c>
      <c r="AL9" t="s">
        <v>113</v>
      </c>
      <c r="AM9" t="s">
        <v>102</v>
      </c>
      <c r="AN9" t="s">
        <v>13</v>
      </c>
      <c r="AO9" t="s">
        <v>102</v>
      </c>
      <c r="AP9" t="s">
        <v>102</v>
      </c>
      <c r="AQ9" t="s">
        <v>111</v>
      </c>
      <c r="AR9" t="s">
        <v>111</v>
      </c>
      <c r="AS9" t="s">
        <v>102</v>
      </c>
      <c r="AT9" t="s">
        <v>98</v>
      </c>
      <c r="AU9" t="s">
        <v>102</v>
      </c>
      <c r="AV9" t="s">
        <v>98</v>
      </c>
      <c r="AW9" t="s">
        <v>102</v>
      </c>
      <c r="AX9" t="s">
        <v>102</v>
      </c>
      <c r="AY9" t="s">
        <v>102</v>
      </c>
      <c r="AZ9" t="s">
        <v>13</v>
      </c>
      <c r="BA9" t="s">
        <v>13</v>
      </c>
      <c r="BB9" t="s">
        <v>98</v>
      </c>
      <c r="BC9" t="s">
        <v>114</v>
      </c>
      <c r="BD9" t="s">
        <v>102</v>
      </c>
      <c r="BE9" t="s">
        <v>102</v>
      </c>
      <c r="BF9" t="s">
        <v>111</v>
      </c>
      <c r="BG9" t="s">
        <v>109</v>
      </c>
      <c r="BH9" t="s">
        <v>115</v>
      </c>
      <c r="BI9" t="s">
        <v>102</v>
      </c>
      <c r="BJ9" t="s">
        <v>102</v>
      </c>
      <c r="BK9" t="s">
        <v>116</v>
      </c>
      <c r="BL9" t="s">
        <v>102</v>
      </c>
      <c r="BM9" t="s">
        <v>117</v>
      </c>
      <c r="BN9" t="s">
        <v>111</v>
      </c>
      <c r="BO9" t="s">
        <v>102</v>
      </c>
      <c r="BP9" t="s">
        <v>98</v>
      </c>
      <c r="BQ9" t="s">
        <v>102</v>
      </c>
      <c r="BR9" t="s">
        <v>117</v>
      </c>
      <c r="BS9" t="s">
        <v>111</v>
      </c>
      <c r="BT9" t="s">
        <v>118</v>
      </c>
      <c r="BU9" t="s">
        <v>102</v>
      </c>
      <c r="BV9" t="s">
        <v>102</v>
      </c>
      <c r="BW9" t="s">
        <v>102</v>
      </c>
      <c r="BX9" t="s">
        <v>102</v>
      </c>
      <c r="BY9" t="s">
        <v>13</v>
      </c>
    </row>
    <row r="10" spans="1:77" x14ac:dyDescent="0.3">
      <c r="A10" t="s">
        <v>13</v>
      </c>
      <c r="B10" t="s">
        <v>155</v>
      </c>
      <c r="C10" t="s">
        <v>12</v>
      </c>
      <c r="D10" t="s">
        <v>98</v>
      </c>
      <c r="E10">
        <v>1</v>
      </c>
      <c r="F10" t="s">
        <v>103</v>
      </c>
      <c r="G10" t="s">
        <v>104</v>
      </c>
      <c r="H10" t="s">
        <v>102</v>
      </c>
      <c r="I10" t="s">
        <v>13</v>
      </c>
      <c r="J10" t="s">
        <v>15</v>
      </c>
      <c r="K10" t="s">
        <v>156</v>
      </c>
      <c r="L10" t="s">
        <v>13</v>
      </c>
      <c r="M10" t="s">
        <v>97</v>
      </c>
      <c r="N10" t="s">
        <v>99</v>
      </c>
      <c r="O10" t="s">
        <v>99</v>
      </c>
      <c r="P10" t="s">
        <v>119</v>
      </c>
      <c r="Q10" t="s">
        <v>101</v>
      </c>
      <c r="R10" t="s">
        <v>98</v>
      </c>
      <c r="S10" t="s">
        <v>123</v>
      </c>
      <c r="T10" t="s">
        <v>98</v>
      </c>
      <c r="U10" t="s">
        <v>108</v>
      </c>
      <c r="V10" t="s">
        <v>109</v>
      </c>
      <c r="W10" t="s">
        <v>15</v>
      </c>
      <c r="X10" t="s">
        <v>15</v>
      </c>
      <c r="Y10" t="s">
        <v>110</v>
      </c>
      <c r="Z10" t="s">
        <v>110</v>
      </c>
      <c r="AA10" t="s">
        <v>110</v>
      </c>
      <c r="AB10" t="s">
        <v>110</v>
      </c>
      <c r="AC10" t="s">
        <v>13</v>
      </c>
      <c r="AD10" t="s">
        <v>13</v>
      </c>
      <c r="AE10" t="s">
        <v>110</v>
      </c>
      <c r="AF10" t="s">
        <v>102</v>
      </c>
      <c r="AG10" t="s">
        <v>111</v>
      </c>
      <c r="AH10" t="s">
        <v>13</v>
      </c>
      <c r="AI10" t="s">
        <v>13</v>
      </c>
      <c r="AJ10" t="s">
        <v>112</v>
      </c>
      <c r="AK10" t="s">
        <v>102</v>
      </c>
      <c r="AL10" t="s">
        <v>113</v>
      </c>
      <c r="AM10" t="s">
        <v>102</v>
      </c>
      <c r="AN10" t="s">
        <v>13</v>
      </c>
      <c r="AO10" t="s">
        <v>102</v>
      </c>
      <c r="AP10" t="s">
        <v>102</v>
      </c>
      <c r="AQ10" t="s">
        <v>111</v>
      </c>
      <c r="AR10" t="s">
        <v>111</v>
      </c>
      <c r="AS10" t="s">
        <v>102</v>
      </c>
      <c r="AT10" t="s">
        <v>98</v>
      </c>
      <c r="AU10" t="s">
        <v>102</v>
      </c>
      <c r="AV10" t="s">
        <v>98</v>
      </c>
      <c r="AW10" t="s">
        <v>102</v>
      </c>
      <c r="AX10" t="s">
        <v>102</v>
      </c>
      <c r="AY10" t="s">
        <v>102</v>
      </c>
      <c r="AZ10" t="s">
        <v>13</v>
      </c>
      <c r="BA10" t="s">
        <v>13</v>
      </c>
      <c r="BB10" t="s">
        <v>98</v>
      </c>
      <c r="BC10" t="s">
        <v>114</v>
      </c>
      <c r="BD10" t="s">
        <v>102</v>
      </c>
      <c r="BE10" t="s">
        <v>102</v>
      </c>
      <c r="BF10" t="s">
        <v>111</v>
      </c>
      <c r="BG10" t="s">
        <v>109</v>
      </c>
      <c r="BH10" t="s">
        <v>115</v>
      </c>
      <c r="BI10" t="s">
        <v>102</v>
      </c>
      <c r="BJ10" t="s">
        <v>102</v>
      </c>
      <c r="BK10" t="s">
        <v>116</v>
      </c>
      <c r="BL10" t="s">
        <v>102</v>
      </c>
      <c r="BM10" t="s">
        <v>117</v>
      </c>
      <c r="BN10" t="s">
        <v>111</v>
      </c>
      <c r="BO10" t="s">
        <v>102</v>
      </c>
      <c r="BP10" t="s">
        <v>98</v>
      </c>
      <c r="BQ10" t="s">
        <v>102</v>
      </c>
      <c r="BR10" t="s">
        <v>117</v>
      </c>
      <c r="BS10" t="s">
        <v>111</v>
      </c>
      <c r="BT10" t="s">
        <v>118</v>
      </c>
      <c r="BU10" t="s">
        <v>102</v>
      </c>
      <c r="BV10" t="s">
        <v>102</v>
      </c>
      <c r="BW10" t="s">
        <v>102</v>
      </c>
      <c r="BX10" t="s">
        <v>102</v>
      </c>
      <c r="BY10" t="s">
        <v>13</v>
      </c>
    </row>
    <row r="11" spans="1:77" x14ac:dyDescent="0.3">
      <c r="A11" t="s">
        <v>13</v>
      </c>
      <c r="B11" t="s">
        <v>157</v>
      </c>
      <c r="C11" t="s">
        <v>12</v>
      </c>
      <c r="D11" t="s">
        <v>98</v>
      </c>
      <c r="E11">
        <v>1</v>
      </c>
      <c r="F11" t="s">
        <v>103</v>
      </c>
      <c r="G11" t="s">
        <v>104</v>
      </c>
      <c r="H11" t="s">
        <v>102</v>
      </c>
      <c r="I11" t="s">
        <v>13</v>
      </c>
      <c r="J11" t="s">
        <v>15</v>
      </c>
      <c r="K11" t="s">
        <v>158</v>
      </c>
      <c r="L11" t="s">
        <v>13</v>
      </c>
      <c r="M11" t="s">
        <v>97</v>
      </c>
      <c r="N11" t="s">
        <v>99</v>
      </c>
      <c r="O11" t="s">
        <v>99</v>
      </c>
      <c r="P11" t="s">
        <v>119</v>
      </c>
      <c r="Q11" t="s">
        <v>101</v>
      </c>
      <c r="R11" t="s">
        <v>98</v>
      </c>
      <c r="S11" t="s">
        <v>124</v>
      </c>
      <c r="T11" t="s">
        <v>98</v>
      </c>
      <c r="U11" t="s">
        <v>108</v>
      </c>
      <c r="V11" t="s">
        <v>15</v>
      </c>
      <c r="W11" t="s">
        <v>15</v>
      </c>
      <c r="X11" t="s">
        <v>15</v>
      </c>
      <c r="Y11" t="s">
        <v>110</v>
      </c>
      <c r="Z11" t="s">
        <v>110</v>
      </c>
      <c r="AA11" t="s">
        <v>110</v>
      </c>
      <c r="AB11" t="s">
        <v>110</v>
      </c>
      <c r="AC11" t="s">
        <v>13</v>
      </c>
      <c r="AD11" t="s">
        <v>13</v>
      </c>
      <c r="AE11" t="s">
        <v>110</v>
      </c>
      <c r="AF11" t="s">
        <v>102</v>
      </c>
      <c r="AG11" t="s">
        <v>111</v>
      </c>
      <c r="AH11" t="s">
        <v>13</v>
      </c>
      <c r="AI11" t="s">
        <v>13</v>
      </c>
      <c r="AJ11" t="s">
        <v>112</v>
      </c>
      <c r="AK11" t="s">
        <v>102</v>
      </c>
      <c r="AL11" t="s">
        <v>113</v>
      </c>
      <c r="AM11" t="s">
        <v>102</v>
      </c>
      <c r="AN11" t="s">
        <v>13</v>
      </c>
      <c r="AO11" t="s">
        <v>102</v>
      </c>
      <c r="AP11" t="s">
        <v>102</v>
      </c>
      <c r="AQ11" t="s">
        <v>111</v>
      </c>
      <c r="AR11" t="s">
        <v>111</v>
      </c>
      <c r="AS11" t="s">
        <v>102</v>
      </c>
      <c r="AT11" t="s">
        <v>98</v>
      </c>
      <c r="AU11" t="s">
        <v>102</v>
      </c>
      <c r="AV11" t="s">
        <v>98</v>
      </c>
      <c r="AW11" t="s">
        <v>102</v>
      </c>
      <c r="AX11" t="s">
        <v>102</v>
      </c>
      <c r="AY11" t="s">
        <v>102</v>
      </c>
      <c r="AZ11" t="s">
        <v>13</v>
      </c>
      <c r="BA11" t="s">
        <v>13</v>
      </c>
      <c r="BB11" t="s">
        <v>98</v>
      </c>
      <c r="BC11" t="s">
        <v>114</v>
      </c>
      <c r="BD11" t="s">
        <v>102</v>
      </c>
      <c r="BE11" t="s">
        <v>102</v>
      </c>
      <c r="BF11" t="s">
        <v>111</v>
      </c>
      <c r="BG11" t="s">
        <v>109</v>
      </c>
      <c r="BH11" t="s">
        <v>115</v>
      </c>
      <c r="BI11" t="s">
        <v>102</v>
      </c>
      <c r="BJ11" t="s">
        <v>102</v>
      </c>
      <c r="BK11" t="s">
        <v>116</v>
      </c>
      <c r="BL11" t="s">
        <v>102</v>
      </c>
      <c r="BM11" t="s">
        <v>117</v>
      </c>
      <c r="BN11" t="s">
        <v>111</v>
      </c>
      <c r="BO11" t="s">
        <v>102</v>
      </c>
      <c r="BP11" t="s">
        <v>98</v>
      </c>
      <c r="BQ11" t="s">
        <v>102</v>
      </c>
      <c r="BR11" t="s">
        <v>117</v>
      </c>
      <c r="BS11" t="s">
        <v>111</v>
      </c>
      <c r="BT11" t="s">
        <v>118</v>
      </c>
      <c r="BU11" t="s">
        <v>102</v>
      </c>
      <c r="BV11" t="s">
        <v>102</v>
      </c>
      <c r="BW11" t="s">
        <v>102</v>
      </c>
      <c r="BX11" t="s">
        <v>102</v>
      </c>
      <c r="BY11" t="s">
        <v>13</v>
      </c>
    </row>
    <row r="12" spans="1:77" x14ac:dyDescent="0.3">
      <c r="A12" t="s">
        <v>16</v>
      </c>
      <c r="B12" t="s">
        <v>159</v>
      </c>
      <c r="C12" t="s">
        <v>12</v>
      </c>
      <c r="D12" t="s">
        <v>98</v>
      </c>
      <c r="E12">
        <v>1</v>
      </c>
      <c r="F12" t="s">
        <v>103</v>
      </c>
      <c r="G12" t="s">
        <v>104</v>
      </c>
      <c r="H12" t="s">
        <v>102</v>
      </c>
      <c r="I12" t="s">
        <v>13</v>
      </c>
      <c r="J12" t="s">
        <v>14</v>
      </c>
      <c r="K12" t="s">
        <v>160</v>
      </c>
      <c r="L12" t="s">
        <v>13</v>
      </c>
      <c r="M12" t="s">
        <v>97</v>
      </c>
      <c r="N12" t="s">
        <v>161</v>
      </c>
      <c r="O12" t="s">
        <v>161</v>
      </c>
      <c r="P12" t="s">
        <v>119</v>
      </c>
      <c r="Q12" t="s">
        <v>101</v>
      </c>
      <c r="R12" t="s">
        <v>105</v>
      </c>
      <c r="S12" t="s">
        <v>122</v>
      </c>
      <c r="T12" t="s">
        <v>107</v>
      </c>
      <c r="U12" t="s">
        <v>108</v>
      </c>
      <c r="V12" t="s">
        <v>109</v>
      </c>
      <c r="W12" t="s">
        <v>15</v>
      </c>
      <c r="X12" t="s">
        <v>14</v>
      </c>
      <c r="Y12" t="s">
        <v>110</v>
      </c>
      <c r="Z12" t="s">
        <v>110</v>
      </c>
      <c r="AA12" t="s">
        <v>110</v>
      </c>
      <c r="AB12" t="s">
        <v>110</v>
      </c>
      <c r="AC12" t="s">
        <v>13</v>
      </c>
      <c r="AD12" t="s">
        <v>13</v>
      </c>
      <c r="AE12" t="s">
        <v>110</v>
      </c>
      <c r="AF12" t="s">
        <v>102</v>
      </c>
      <c r="AG12" t="s">
        <v>111</v>
      </c>
      <c r="AH12" t="s">
        <v>13</v>
      </c>
      <c r="AI12" t="s">
        <v>13</v>
      </c>
      <c r="AJ12" t="s">
        <v>112</v>
      </c>
      <c r="AK12" t="s">
        <v>102</v>
      </c>
      <c r="AL12" t="s">
        <v>113</v>
      </c>
      <c r="AM12" t="s">
        <v>102</v>
      </c>
      <c r="AN12" t="s">
        <v>13</v>
      </c>
      <c r="AO12" t="s">
        <v>102</v>
      </c>
      <c r="AP12" t="s">
        <v>102</v>
      </c>
      <c r="AQ12" t="s">
        <v>111</v>
      </c>
      <c r="AR12" t="s">
        <v>111</v>
      </c>
      <c r="AS12" t="s">
        <v>102</v>
      </c>
      <c r="AT12" t="s">
        <v>98</v>
      </c>
      <c r="AU12" t="s">
        <v>102</v>
      </c>
      <c r="AV12" t="s">
        <v>98</v>
      </c>
      <c r="AW12" t="s">
        <v>102</v>
      </c>
      <c r="AX12" t="s">
        <v>102</v>
      </c>
      <c r="AY12" t="s">
        <v>102</v>
      </c>
      <c r="AZ12" t="s">
        <v>13</v>
      </c>
      <c r="BA12" t="s">
        <v>13</v>
      </c>
      <c r="BB12" t="s">
        <v>98</v>
      </c>
      <c r="BC12" t="s">
        <v>114</v>
      </c>
      <c r="BD12" t="s">
        <v>102</v>
      </c>
      <c r="BE12" t="s">
        <v>102</v>
      </c>
      <c r="BF12" t="s">
        <v>111</v>
      </c>
      <c r="BG12" t="s">
        <v>109</v>
      </c>
      <c r="BH12" t="s">
        <v>115</v>
      </c>
      <c r="BI12" t="s">
        <v>102</v>
      </c>
      <c r="BJ12" t="s">
        <v>102</v>
      </c>
      <c r="BK12" t="s">
        <v>116</v>
      </c>
      <c r="BL12" t="s">
        <v>102</v>
      </c>
      <c r="BM12" t="s">
        <v>117</v>
      </c>
      <c r="BN12" t="s">
        <v>111</v>
      </c>
      <c r="BO12" t="s">
        <v>102</v>
      </c>
      <c r="BP12" t="s">
        <v>98</v>
      </c>
      <c r="BQ12" t="s">
        <v>102</v>
      </c>
      <c r="BR12" t="s">
        <v>117</v>
      </c>
      <c r="BS12" t="s">
        <v>111</v>
      </c>
      <c r="BT12" t="s">
        <v>118</v>
      </c>
      <c r="BU12" t="s">
        <v>102</v>
      </c>
      <c r="BV12" t="s">
        <v>102</v>
      </c>
      <c r="BW12" t="s">
        <v>102</v>
      </c>
      <c r="BX12" t="s">
        <v>102</v>
      </c>
      <c r="BY12" t="s">
        <v>13</v>
      </c>
    </row>
  </sheetData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51607-9B4A-4804-8FB8-6C4ECAE853E9}">
  <sheetPr codeName="Planilha2"/>
  <dimension ref="B4:AE36"/>
  <sheetViews>
    <sheetView zoomScale="90" zoomScaleNormal="90" workbookViewId="0">
      <selection activeCell="G14" sqref="G14"/>
    </sheetView>
  </sheetViews>
  <sheetFormatPr defaultRowHeight="14.4" x14ac:dyDescent="0.3"/>
  <cols>
    <col min="1" max="4" width="8.88671875" style="1"/>
    <col min="5" max="5" width="4.6640625" style="1" customWidth="1"/>
    <col min="6" max="11" width="8.88671875" style="1"/>
    <col min="12" max="12" width="8.88671875" style="1" customWidth="1"/>
    <col min="13" max="16384" width="8.88671875" style="1"/>
  </cols>
  <sheetData>
    <row r="4" spans="2:31" ht="15" thickBot="1" x14ac:dyDescent="0.35">
      <c r="B4" s="2"/>
      <c r="C4" s="2"/>
      <c r="D4" s="2"/>
      <c r="E4" s="2"/>
      <c r="F4" s="2"/>
      <c r="G4" s="2"/>
      <c r="H4" s="2"/>
    </row>
    <row r="5" spans="2:31" ht="15" thickTop="1" x14ac:dyDescent="0.3"/>
    <row r="6" spans="2:31" ht="18" x14ac:dyDescent="0.35">
      <c r="B6" s="3"/>
      <c r="C6" s="3"/>
      <c r="D6" s="3"/>
    </row>
    <row r="7" spans="2:31" ht="18.600000000000001" thickBot="1" x14ac:dyDescent="0.4">
      <c r="B7" s="3"/>
      <c r="C7" s="3"/>
      <c r="D7" s="3"/>
      <c r="X7" s="2"/>
      <c r="Y7" s="2"/>
      <c r="Z7" s="2"/>
      <c r="AA7" s="2"/>
      <c r="AB7" s="2"/>
      <c r="AC7" s="2"/>
      <c r="AD7" s="2"/>
      <c r="AE7" s="2"/>
    </row>
    <row r="8" spans="2:31" ht="15" thickTop="1" x14ac:dyDescent="0.3"/>
    <row r="9" spans="2:31" x14ac:dyDescent="0.3">
      <c r="X9" s="4"/>
      <c r="Y9" s="4"/>
      <c r="Z9" s="4"/>
      <c r="AA9" s="4"/>
      <c r="AB9" s="4"/>
      <c r="AC9" s="4"/>
      <c r="AD9" s="4"/>
      <c r="AE9" s="4"/>
    </row>
    <row r="10" spans="2:31" x14ac:dyDescent="0.3">
      <c r="X10" s="4" t="s">
        <v>28</v>
      </c>
      <c r="Y10" s="4"/>
      <c r="Z10" s="4"/>
      <c r="AA10" s="4"/>
      <c r="AB10" s="4"/>
      <c r="AC10" s="4"/>
      <c r="AD10" s="4"/>
      <c r="AE10" s="4"/>
    </row>
    <row r="11" spans="2:31" ht="14.4" customHeight="1" x14ac:dyDescent="0.3">
      <c r="X11" s="4" t="s">
        <v>29</v>
      </c>
      <c r="Y11" s="4"/>
      <c r="Z11" s="4"/>
      <c r="AA11" s="4"/>
      <c r="AB11" s="4"/>
      <c r="AC11" s="4"/>
      <c r="AD11" s="4"/>
      <c r="AE11" s="4"/>
    </row>
    <row r="12" spans="2:31" ht="14.4" customHeight="1" x14ac:dyDescent="0.3">
      <c r="X12" s="4" t="s">
        <v>30</v>
      </c>
      <c r="Y12" s="4"/>
      <c r="Z12" s="4"/>
      <c r="AA12" s="4"/>
      <c r="AB12" s="4"/>
      <c r="AC12" s="4"/>
      <c r="AD12" s="4"/>
      <c r="AE12" s="4"/>
    </row>
    <row r="13" spans="2:31" ht="14.4" customHeight="1" x14ac:dyDescent="0.3">
      <c r="X13" s="4" t="s">
        <v>31</v>
      </c>
      <c r="Y13" s="4"/>
      <c r="Z13" s="4"/>
      <c r="AA13" s="4"/>
      <c r="AB13" s="4"/>
      <c r="AC13" s="4"/>
      <c r="AD13" s="4"/>
      <c r="AE13" s="4"/>
    </row>
    <row r="14" spans="2:31" ht="14.4" customHeight="1" x14ac:dyDescent="0.3">
      <c r="X14" s="4"/>
      <c r="Y14" s="4"/>
      <c r="Z14" s="4"/>
      <c r="AA14" s="4"/>
      <c r="AB14" s="4"/>
      <c r="AC14" s="4"/>
      <c r="AD14" s="4"/>
      <c r="AE14" s="4"/>
    </row>
    <row r="15" spans="2:31" ht="14.4" customHeight="1" x14ac:dyDescent="0.3">
      <c r="X15" s="4"/>
      <c r="Y15" s="4"/>
      <c r="Z15" s="4"/>
      <c r="AA15" s="4"/>
      <c r="AB15" s="4"/>
      <c r="AC15" s="4"/>
      <c r="AD15" s="4"/>
      <c r="AE15" s="4"/>
    </row>
    <row r="16" spans="2:31" ht="14.4" customHeight="1" x14ac:dyDescent="0.3">
      <c r="X16" s="4"/>
      <c r="Y16" s="4"/>
      <c r="Z16" s="4"/>
      <c r="AA16" s="4"/>
      <c r="AB16" s="4"/>
      <c r="AC16" s="4"/>
      <c r="AD16" s="4"/>
      <c r="AE16" s="4"/>
    </row>
    <row r="17" spans="24:31" ht="14.4" customHeight="1" x14ac:dyDescent="0.3">
      <c r="X17" s="4"/>
      <c r="Y17" s="4"/>
      <c r="Z17" s="4"/>
      <c r="AA17" s="4"/>
      <c r="AB17" s="4"/>
      <c r="AC17" s="4"/>
      <c r="AD17" s="4"/>
      <c r="AE17" s="4"/>
    </row>
    <row r="18" spans="24:31" ht="14.4" customHeight="1" x14ac:dyDescent="0.3">
      <c r="X18" s="4"/>
      <c r="Y18" s="4"/>
      <c r="Z18" s="4"/>
      <c r="AA18" s="4"/>
      <c r="AB18" s="4"/>
      <c r="AC18" s="4"/>
      <c r="AD18" s="4"/>
      <c r="AE18" s="4"/>
    </row>
    <row r="19" spans="24:31" ht="14.4" customHeight="1" x14ac:dyDescent="0.3">
      <c r="X19" s="4"/>
      <c r="Y19" s="4"/>
      <c r="Z19" s="4"/>
      <c r="AA19" s="4"/>
      <c r="AB19" s="4"/>
      <c r="AC19" s="4"/>
      <c r="AD19" s="4"/>
      <c r="AE19" s="4"/>
    </row>
    <row r="20" spans="24:31" ht="14.4" customHeight="1" x14ac:dyDescent="0.3">
      <c r="X20" s="4"/>
      <c r="Y20" s="4"/>
      <c r="Z20" s="4"/>
      <c r="AA20" s="4"/>
      <c r="AB20" s="4"/>
      <c r="AC20" s="4"/>
      <c r="AD20" s="4"/>
      <c r="AE20" s="4"/>
    </row>
    <row r="21" spans="24:31" ht="14.4" customHeight="1" x14ac:dyDescent="0.3">
      <c r="X21" s="4"/>
      <c r="Y21" s="4"/>
      <c r="Z21" s="4"/>
      <c r="AA21" s="4"/>
      <c r="AB21" s="4"/>
      <c r="AC21" s="4"/>
      <c r="AD21" s="4"/>
      <c r="AE21" s="4"/>
    </row>
    <row r="22" spans="24:31" ht="14.4" customHeight="1" x14ac:dyDescent="0.3">
      <c r="X22" s="4"/>
      <c r="Y22" s="4"/>
      <c r="Z22" s="4"/>
      <c r="AA22" s="4"/>
      <c r="AB22" s="4"/>
      <c r="AC22" s="4"/>
      <c r="AD22" s="4"/>
      <c r="AE22" s="4"/>
    </row>
    <row r="23" spans="24:31" ht="14.4" customHeight="1" x14ac:dyDescent="0.3">
      <c r="X23" s="4"/>
      <c r="Y23" s="4"/>
      <c r="Z23" s="4"/>
      <c r="AA23" s="4"/>
      <c r="AB23" s="4"/>
      <c r="AC23" s="4"/>
      <c r="AD23" s="4"/>
      <c r="AE23" s="4"/>
    </row>
    <row r="24" spans="24:31" ht="14.4" customHeight="1" x14ac:dyDescent="0.3">
      <c r="X24" s="4"/>
      <c r="Y24" s="4"/>
      <c r="Z24" s="4"/>
      <c r="AA24" s="4"/>
      <c r="AB24" s="4"/>
      <c r="AC24" s="4"/>
      <c r="AD24" s="4"/>
      <c r="AE24" s="4"/>
    </row>
    <row r="25" spans="24:31" x14ac:dyDescent="0.3">
      <c r="X25" s="4"/>
      <c r="Y25" s="4"/>
      <c r="Z25" s="4"/>
      <c r="AA25" s="4"/>
      <c r="AB25" s="4"/>
      <c r="AC25" s="4"/>
      <c r="AD25" s="4"/>
      <c r="AE25" s="4"/>
    </row>
    <row r="26" spans="24:31" x14ac:dyDescent="0.3">
      <c r="X26" s="4"/>
      <c r="Y26" s="4"/>
      <c r="Z26" s="4"/>
      <c r="AA26" s="4"/>
      <c r="AB26" s="4"/>
      <c r="AC26" s="4"/>
      <c r="AD26" s="4"/>
      <c r="AE26" s="4"/>
    </row>
    <row r="27" spans="24:31" x14ac:dyDescent="0.3">
      <c r="X27" s="4"/>
      <c r="Y27" s="4"/>
      <c r="Z27" s="4"/>
      <c r="AA27" s="4"/>
      <c r="AB27" s="4"/>
      <c r="AC27" s="4"/>
      <c r="AD27" s="4"/>
      <c r="AE27" s="4"/>
    </row>
    <row r="28" spans="24:31" x14ac:dyDescent="0.3">
      <c r="X28" s="4"/>
      <c r="Y28" s="4"/>
      <c r="Z28" s="4"/>
      <c r="AA28" s="4"/>
      <c r="AB28" s="4"/>
      <c r="AC28" s="4"/>
      <c r="AD28" s="4"/>
      <c r="AE28" s="4"/>
    </row>
    <row r="29" spans="24:31" x14ac:dyDescent="0.3">
      <c r="X29" s="4"/>
      <c r="Y29" s="4"/>
      <c r="Z29" s="4"/>
      <c r="AA29" s="4"/>
      <c r="AB29" s="4"/>
      <c r="AC29" s="4"/>
      <c r="AD29" s="4"/>
      <c r="AE29" s="4"/>
    </row>
    <row r="30" spans="24:31" x14ac:dyDescent="0.3">
      <c r="X30" s="4"/>
      <c r="Y30" s="4"/>
      <c r="Z30" s="4"/>
      <c r="AA30" s="4"/>
      <c r="AB30" s="4"/>
      <c r="AC30" s="4"/>
      <c r="AD30" s="4"/>
      <c r="AE30" s="4"/>
    </row>
    <row r="31" spans="24:31" x14ac:dyDescent="0.3">
      <c r="X31" s="4"/>
      <c r="Y31" s="4"/>
      <c r="Z31" s="4"/>
      <c r="AA31" s="4"/>
      <c r="AB31" s="4"/>
      <c r="AC31" s="4"/>
      <c r="AD31" s="4"/>
      <c r="AE31" s="4"/>
    </row>
    <row r="32" spans="24:31" x14ac:dyDescent="0.3">
      <c r="X32" s="4"/>
      <c r="Y32" s="4"/>
      <c r="Z32" s="4"/>
      <c r="AA32" s="4"/>
      <c r="AB32" s="4"/>
      <c r="AC32" s="4"/>
      <c r="AD32" s="4"/>
      <c r="AE32" s="4"/>
    </row>
    <row r="33" spans="24:31" x14ac:dyDescent="0.3">
      <c r="X33" s="4"/>
      <c r="Y33" s="4"/>
      <c r="Z33" s="4"/>
      <c r="AA33" s="4"/>
      <c r="AB33" s="4"/>
      <c r="AC33" s="4"/>
      <c r="AD33" s="4"/>
      <c r="AE33" s="4"/>
    </row>
    <row r="34" spans="24:31" x14ac:dyDescent="0.3">
      <c r="X34" s="4"/>
      <c r="Y34" s="4"/>
      <c r="Z34" s="4"/>
      <c r="AA34" s="4"/>
      <c r="AB34" s="4"/>
      <c r="AC34" s="4"/>
      <c r="AD34" s="4"/>
      <c r="AE34" s="4"/>
    </row>
    <row r="35" spans="24:31" x14ac:dyDescent="0.3">
      <c r="X35" s="4"/>
      <c r="Y35" s="4"/>
      <c r="Z35" s="4"/>
      <c r="AA35" s="4"/>
      <c r="AB35" s="4"/>
      <c r="AC35" s="4"/>
      <c r="AD35" s="4"/>
      <c r="AE35" s="4"/>
    </row>
    <row r="36" spans="24:31" x14ac:dyDescent="0.3">
      <c r="X36" s="4"/>
      <c r="Y36" s="4"/>
      <c r="Z36" s="4"/>
      <c r="AA36" s="4"/>
      <c r="AB36" s="4"/>
      <c r="AC36" s="4"/>
      <c r="AD36" s="4"/>
      <c r="AE36" s="4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211B4-947D-43F1-AE5A-3682AADC4511}">
  <sheetPr codeName="Planilha3"/>
  <dimension ref="B4:I25"/>
  <sheetViews>
    <sheetView zoomScale="90" zoomScaleNormal="90" workbookViewId="0">
      <selection activeCell="G21" sqref="G21"/>
    </sheetView>
  </sheetViews>
  <sheetFormatPr defaultRowHeight="14.4" x14ac:dyDescent="0.3"/>
  <cols>
    <col min="1" max="1" width="8.88671875" style="1"/>
    <col min="2" max="2" width="12.109375" style="1" customWidth="1"/>
    <col min="3" max="3" width="13.6640625" style="1" customWidth="1"/>
    <col min="4" max="4" width="10.44140625" style="1" bestFit="1" customWidth="1"/>
    <col min="5" max="5" width="4.6640625" style="1" customWidth="1"/>
    <col min="6" max="6" width="8.88671875" style="1"/>
    <col min="7" max="7" width="16.77734375" style="1" bestFit="1" customWidth="1"/>
    <col min="8" max="8" width="8.88671875" style="1"/>
    <col min="9" max="9" width="12.88671875" style="1" bestFit="1" customWidth="1"/>
    <col min="10" max="21" width="8.88671875" style="1"/>
    <col min="22" max="22" width="8.88671875" style="1" customWidth="1"/>
    <col min="23" max="16384" width="8.88671875" style="1"/>
  </cols>
  <sheetData>
    <row r="4" spans="2:8" ht="15" thickBot="1" x14ac:dyDescent="0.35">
      <c r="B4" s="2"/>
      <c r="C4" s="2"/>
      <c r="D4" s="2"/>
      <c r="E4" s="2"/>
      <c r="F4" s="2"/>
      <c r="G4" s="2"/>
      <c r="H4" s="2"/>
    </row>
    <row r="5" spans="2:8" ht="15" thickTop="1" x14ac:dyDescent="0.3"/>
    <row r="6" spans="2:8" ht="18" x14ac:dyDescent="0.35">
      <c r="B6" s="3" t="s">
        <v>18</v>
      </c>
      <c r="C6" s="3" t="s">
        <v>17</v>
      </c>
      <c r="D6" s="3"/>
      <c r="E6" s="3"/>
      <c r="F6" s="3"/>
      <c r="G6" s="3"/>
      <c r="H6" s="3"/>
    </row>
    <row r="7" spans="2:8" ht="18" x14ac:dyDescent="0.35">
      <c r="B7" s="3" t="s">
        <v>19</v>
      </c>
      <c r="C7" s="3" t="s">
        <v>32</v>
      </c>
      <c r="D7" s="3"/>
      <c r="E7" s="3"/>
      <c r="F7" s="3"/>
      <c r="G7" s="3"/>
      <c r="H7" s="3"/>
    </row>
    <row r="8" spans="2:8" ht="18" x14ac:dyDescent="0.35">
      <c r="B8" s="3"/>
      <c r="C8" s="3"/>
      <c r="D8" s="3"/>
      <c r="E8" s="3"/>
      <c r="F8" s="3"/>
      <c r="G8" s="3"/>
      <c r="H8" s="3"/>
    </row>
    <row r="9" spans="2:8" ht="18" x14ac:dyDescent="0.35">
      <c r="B9" s="3"/>
      <c r="C9" s="3"/>
      <c r="D9" s="3"/>
      <c r="E9" s="3"/>
      <c r="F9" s="3"/>
      <c r="G9" s="3"/>
      <c r="H9" s="3"/>
    </row>
    <row r="10" spans="2:8" ht="18" x14ac:dyDescent="0.35">
      <c r="B10" s="3" t="s">
        <v>20</v>
      </c>
      <c r="C10" s="3"/>
      <c r="D10" s="3"/>
      <c r="E10" s="3"/>
      <c r="F10" s="3"/>
      <c r="G10" s="3"/>
      <c r="H10" s="3"/>
    </row>
    <row r="11" spans="2:8" ht="14.4" customHeight="1" x14ac:dyDescent="0.35">
      <c r="B11" s="3"/>
      <c r="C11" s="3"/>
      <c r="D11" s="3"/>
      <c r="E11" s="3"/>
      <c r="F11" s="3"/>
      <c r="G11" s="3"/>
      <c r="H11" s="3"/>
    </row>
    <row r="12" spans="2:8" ht="14.4" customHeight="1" x14ac:dyDescent="0.35">
      <c r="B12" s="3" t="s">
        <v>21</v>
      </c>
      <c r="C12" s="3">
        <f>COUNTA(Relatorio!B2:B10000)</f>
        <v>11</v>
      </c>
      <c r="D12" s="3"/>
      <c r="E12" s="3"/>
      <c r="F12" s="3"/>
      <c r="G12" s="3"/>
      <c r="H12" s="3"/>
    </row>
    <row r="13" spans="2:8" ht="14.4" customHeight="1" x14ac:dyDescent="0.35">
      <c r="B13" s="3" t="s">
        <v>24</v>
      </c>
      <c r="C13" s="3">
        <f>COUNTIF(Relatorio!E2:E5000,"&lt;3")</f>
        <v>4</v>
      </c>
      <c r="E13" s="3"/>
      <c r="F13" s="3"/>
      <c r="G13" s="3"/>
      <c r="H13" s="3"/>
    </row>
    <row r="14" spans="2:8" ht="14.4" customHeight="1" x14ac:dyDescent="0.35">
      <c r="B14" s="3" t="s">
        <v>22</v>
      </c>
      <c r="C14" s="3">
        <f>COUNTIF(Relatorio!C2:C5000,"ACTIVE")</f>
        <v>11</v>
      </c>
      <c r="D14" s="3"/>
      <c r="E14" s="3"/>
      <c r="F14" s="3"/>
      <c r="G14" s="3"/>
      <c r="H14" s="3"/>
    </row>
    <row r="15" spans="2:8" ht="14.4" customHeight="1" x14ac:dyDescent="0.35">
      <c r="B15" s="3" t="s">
        <v>23</v>
      </c>
      <c r="C15" s="3">
        <f>C12-C14</f>
        <v>0</v>
      </c>
      <c r="D15" s="3"/>
      <c r="E15" s="3"/>
      <c r="F15" s="3"/>
      <c r="G15" s="3"/>
      <c r="H15" s="3"/>
    </row>
    <row r="16" spans="2:8" ht="14.4" customHeight="1" x14ac:dyDescent="0.35">
      <c r="C16" s="3"/>
      <c r="D16" s="3"/>
      <c r="E16" s="3"/>
      <c r="F16" s="3"/>
      <c r="G16" s="3"/>
      <c r="H16" s="3"/>
    </row>
    <row r="17" spans="2:9" ht="14.4" customHeight="1" x14ac:dyDescent="0.35">
      <c r="C17" s="3"/>
      <c r="D17" s="3"/>
      <c r="E17" s="3"/>
      <c r="F17" s="3"/>
      <c r="G17" s="3"/>
      <c r="H17" s="3"/>
    </row>
    <row r="18" spans="2:9" ht="14.4" customHeight="1" x14ac:dyDescent="0.35">
      <c r="B18" s="3" t="s">
        <v>25</v>
      </c>
      <c r="C18" s="3"/>
      <c r="D18" s="3"/>
      <c r="E18" s="3"/>
      <c r="F18" s="3"/>
      <c r="G18" s="3"/>
      <c r="H18" s="3"/>
    </row>
    <row r="19" spans="2:9" ht="14.4" customHeight="1" x14ac:dyDescent="0.35">
      <c r="B19" s="3"/>
      <c r="C19" s="3"/>
      <c r="D19" s="3"/>
      <c r="E19" s="3"/>
      <c r="F19" s="3"/>
      <c r="G19" s="3"/>
      <c r="H19" s="3"/>
    </row>
    <row r="20" spans="2:9" ht="14.4" customHeight="1" x14ac:dyDescent="0.35">
      <c r="B20" s="3" t="s">
        <v>0</v>
      </c>
      <c r="C20" s="3"/>
      <c r="D20" s="3"/>
      <c r="E20" s="3"/>
      <c r="F20" s="3"/>
      <c r="G20" s="3" t="s">
        <v>26</v>
      </c>
      <c r="H20" s="3"/>
      <c r="I20" s="3" t="s">
        <v>27</v>
      </c>
    </row>
    <row r="21" spans="2:9" ht="14.4" customHeight="1" x14ac:dyDescent="0.35">
      <c r="B21" s="3" t="str">
        <f>Relatorio!A2</f>
        <v>W&amp;S Operacional</v>
      </c>
      <c r="C21" s="3"/>
      <c r="D21" s="3"/>
      <c r="E21" s="3"/>
      <c r="F21" s="3"/>
      <c r="G21" s="3">
        <f>Relatorio!E2</f>
        <v>7050</v>
      </c>
      <c r="H21" s="3"/>
      <c r="I21" s="3">
        <f>G21/1024</f>
        <v>6.884765625</v>
      </c>
    </row>
    <row r="22" spans="2:9" ht="14.4" customHeight="1" x14ac:dyDescent="0.35">
      <c r="B22" s="3" t="str">
        <f>Relatorio!A3</f>
        <v>B2 Investimentos</v>
      </c>
      <c r="C22" s="3"/>
      <c r="D22" s="3"/>
      <c r="E22" s="3"/>
      <c r="F22" s="3"/>
      <c r="G22" s="3">
        <f>Relatorio!E3</f>
        <v>80</v>
      </c>
      <c r="H22" s="3"/>
      <c r="I22" s="3">
        <f t="shared" ref="I22:I25" si="0">G22/1024</f>
        <v>7.8125E-2</v>
      </c>
    </row>
    <row r="23" spans="2:9" ht="14.4" customHeight="1" x14ac:dyDescent="0.35">
      <c r="B23" s="3" t="str">
        <f>Relatorio!A4</f>
        <v>McDonald's - Operação Brasil</v>
      </c>
      <c r="C23" s="3"/>
      <c r="D23" s="3"/>
      <c r="E23" s="3"/>
      <c r="F23" s="3"/>
      <c r="G23" s="3">
        <f>Relatorio!E4</f>
        <v>29</v>
      </c>
      <c r="H23" s="3"/>
      <c r="I23" s="3">
        <f t="shared" si="0"/>
        <v>2.83203125E-2</v>
      </c>
    </row>
    <row r="24" spans="2:9" ht="14.4" customHeight="1" x14ac:dyDescent="0.35">
      <c r="B24" s="3" t="str">
        <f>Relatorio!A5</f>
        <v>Portal TIVIT</v>
      </c>
      <c r="C24" s="3"/>
      <c r="D24" s="3"/>
      <c r="E24" s="3"/>
      <c r="F24" s="3"/>
      <c r="G24" s="3">
        <f>Relatorio!E5</f>
        <v>9</v>
      </c>
      <c r="H24" s="3"/>
      <c r="I24" s="3">
        <f t="shared" si="0"/>
        <v>8.7890625E-3</v>
      </c>
    </row>
    <row r="25" spans="2:9" ht="18" x14ac:dyDescent="0.35">
      <c r="B25" s="3" t="str">
        <f>Relatorio!A6</f>
        <v>Teste Site Públic</v>
      </c>
      <c r="C25" s="3"/>
      <c r="D25" s="3"/>
      <c r="E25" s="3"/>
      <c r="F25" s="3"/>
      <c r="G25" s="3">
        <f>Relatorio!E6</f>
        <v>3</v>
      </c>
      <c r="H25" s="3"/>
      <c r="I25" s="3">
        <f t="shared" si="0"/>
        <v>2.9296875E-3</v>
      </c>
    </row>
  </sheetData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BC2A6F-487F-4FCE-8C9B-91688CD2A5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Relatorio</vt:lpstr>
      <vt:lpstr>Dash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Wanderson Silva</dc:creator>
  <cp:lastModifiedBy>Wanderson Silva</cp:lastModifiedBy>
  <dcterms:created xsi:type="dcterms:W3CDTF">2024-11-29T05:21:37Z</dcterms:created>
  <dcterms:modified xsi:type="dcterms:W3CDTF">2024-12-09T02:02:21Z</dcterms:modified>
</cp:coreProperties>
</file>